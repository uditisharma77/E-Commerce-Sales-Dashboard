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C:\Users\dell\Desktop\Certificates &amp; Projects\Projects\Excel New project\"/>
    </mc:Choice>
  </mc:AlternateContent>
  <xr:revisionPtr revIDLastSave="0" documentId="13_ncr:1_{FCC797FA-8A56-448C-9271-8C5655BBD4B3}" xr6:coauthVersionLast="47" xr6:coauthVersionMax="47" xr10:uidLastSave="{00000000-0000-0000-0000-000000000000}"/>
  <bookViews>
    <workbookView xWindow="-110" yWindow="-110" windowWidth="19420" windowHeight="10300" activeTab="1" xr2:uid="{00000000-000D-0000-FFFF-FFFF00000000}"/>
  </bookViews>
  <sheets>
    <sheet name="Pivot Charts" sheetId="1" r:id="rId1"/>
    <sheet name="Dashboard" sheetId="2" r:id="rId2"/>
  </sheets>
  <definedNames>
    <definedName name="Slicer_Gender">#N/A</definedName>
    <definedName name="Slicer_Order_Date__Month">#N/A</definedName>
    <definedName name="Slicer_Reason_of_Buying">#N/A</definedName>
  </definedNames>
  <calcPr calcId="191029"/>
  <pivotCaches>
    <pivotCache cacheId="94" r:id="rId3"/>
    <pivotCache cacheId="97" r:id="rId4"/>
    <pivotCache cacheId="100" r:id="rId5"/>
    <pivotCache cacheId="103" r:id="rId6"/>
    <pivotCache cacheId="106" r:id="rId7"/>
    <pivotCache cacheId="109" r:id="rId8"/>
    <pivotCache cacheId="112" r:id="rId9"/>
    <pivotCache cacheId="115" r:id="rId10"/>
    <pivotCache cacheId="118" r:id="rId11"/>
  </pivotCaches>
  <extLst>
    <ext xmlns:x14="http://schemas.microsoft.com/office/spreadsheetml/2009/9/main" uri="{876F7934-8845-4945-9796-88D515C7AA90}">
      <x14:pivotCaches>
        <pivotCache cacheId="9" r:id="rId12"/>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58856919-7fde-41d0-89ee-69494a0ffd8b" name="customers" connection="Query - customers"/>
          <x15:modelTable id="orders_7237b58a-263a-44d4-9aae-9a3b215e7114" name="orders" connection="Query - orders"/>
          <x15:modelTable id="products_2fd4752d-931f-4e17-8667-76986440659e" name="products" connection="Query - products"/>
          <x15:modelTable id="Calander_7773de77-60ab-47b8-ab4f-d01ef3b73f61" name="Calander" connection="Query - Calander"/>
        </x15:modelTables>
        <x15:modelRelationships>
          <x15:modelRelationship fromTable="orders" fromColumn="Customer_ID" toTable="customers" toColumn="Customer_ID"/>
          <x15:modelRelationship fromTable="orders" fromColumn="Product_ID" toTable="products" toColumn="Product_ID"/>
          <x15:modelRelationship fromTable="orders" fromColumn="Order_Date" toTable="Calander" toColumn="Order_Date"/>
        </x15:modelRelationships>
        <x15:extLst>
          <ext xmlns:x16="http://schemas.microsoft.com/office/spreadsheetml/2014/11/main" uri="{9835A34E-60A6-4A7C-AAB8-D5F71C897F49}">
            <x16:modelTimeGroupings>
              <x16:modelTimeGrouping tableName="Calander"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1" l="1"/>
  <c r="C21" i="1"/>
  <c r="B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F6F76C-A3CC-416F-A3F6-A711F53A57BF}" name="Query - Calander" description="Connection to the 'Calander' query in the workbook." type="100" refreshedVersion="7" minRefreshableVersion="5">
    <extLst>
      <ext xmlns:x15="http://schemas.microsoft.com/office/spreadsheetml/2010/11/main" uri="{DE250136-89BD-433C-8126-D09CA5730AF9}">
        <x15:connection id="f909a43a-27f1-40e4-a14d-1cccad749f00"/>
      </ext>
    </extLst>
  </connection>
  <connection id="2" xr16:uid="{3D087302-6EEF-474B-A548-32254BCF9635}" name="Query - customers" description="Connection to the 'customers' query in the workbook." type="100" refreshedVersion="7" minRefreshableVersion="5">
    <extLst>
      <ext xmlns:x15="http://schemas.microsoft.com/office/spreadsheetml/2010/11/main" uri="{DE250136-89BD-433C-8126-D09CA5730AF9}">
        <x15:connection id="97ca7bf7-7149-4a49-906f-4193a3734260"/>
      </ext>
    </extLst>
  </connection>
  <connection id="3" xr16:uid="{EAA55730-D5BF-471A-A2BF-B97E25753F81}" name="Query - orders" description="Connection to the 'orders' query in the workbook." type="100" refreshedVersion="7" minRefreshableVersion="5">
    <extLst>
      <ext xmlns:x15="http://schemas.microsoft.com/office/spreadsheetml/2010/11/main" uri="{DE250136-89BD-433C-8126-D09CA5730AF9}">
        <x15:connection id="7060e3f1-25d5-4930-b43c-6da6ac1c2fc3"/>
      </ext>
    </extLst>
  </connection>
  <connection id="4" xr16:uid="{4FC6D4B7-C868-4940-A41C-8573951CA232}" name="Query - products" description="Connection to the 'products' query in the workbook." type="100" refreshedVersion="7" minRefreshableVersion="5">
    <extLst>
      <ext xmlns:x15="http://schemas.microsoft.com/office/spreadsheetml/2010/11/main" uri="{DE250136-89BD-433C-8126-D09CA5730AF9}">
        <x15:connection id="9dc495d8-73c0-444e-8920-162d8501756e"/>
      </ext>
    </extLst>
  </connection>
  <connection id="5" xr16:uid="{A9F60CB7-11C8-420C-8F65-ADD47FC42A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<sst xmlns="http://schemas.openxmlformats.org/spreadsheetml/2006/main" count="88" uniqueCount="58">
  <si>
    <t>Row Labels</t>
  </si>
  <si>
    <t>Grand Total</t>
  </si>
  <si>
    <t>Sum of Revenue</t>
  </si>
  <si>
    <t>Average days to deliver</t>
  </si>
  <si>
    <t>May</t>
  </si>
  <si>
    <t>Accessories</t>
  </si>
  <si>
    <t>Appliances</t>
  </si>
  <si>
    <t>Beauty</t>
  </si>
  <si>
    <t>Electronics</t>
  </si>
  <si>
    <t>Fitness</t>
  </si>
  <si>
    <t>Home Textile</t>
  </si>
  <si>
    <t>Personal Care</t>
  </si>
  <si>
    <t>Shoes</t>
  </si>
  <si>
    <t>Trousers</t>
  </si>
  <si>
    <t>Watch</t>
  </si>
  <si>
    <t>Average Revenue</t>
  </si>
  <si>
    <t>Dibrugarh</t>
  </si>
  <si>
    <t>Guntakal</t>
  </si>
  <si>
    <t>Haridwar</t>
  </si>
  <si>
    <t>Panchkula</t>
  </si>
  <si>
    <t>Sum of Order_ID</t>
  </si>
  <si>
    <t>Ad Influence</t>
  </si>
  <si>
    <t>Brand Trust</t>
  </si>
  <si>
    <t>Cashback Offers</t>
  </si>
  <si>
    <t>Easy Returns</t>
  </si>
  <si>
    <t>Festival</t>
  </si>
  <si>
    <t>Quality</t>
  </si>
  <si>
    <t>Friday</t>
  </si>
  <si>
    <t>Monday</t>
  </si>
  <si>
    <t>Saturday</t>
  </si>
  <si>
    <t>Sunday</t>
  </si>
  <si>
    <t>Thursday</t>
  </si>
  <si>
    <t>Tuesday</t>
  </si>
  <si>
    <t>Wednesday</t>
  </si>
  <si>
    <t>number of orders</t>
  </si>
  <si>
    <t>COD</t>
  </si>
  <si>
    <t>Online</t>
  </si>
  <si>
    <t>Jan</t>
  </si>
  <si>
    <t>Feb</t>
  </si>
  <si>
    <t>Mar</t>
  </si>
  <si>
    <t>Apr</t>
  </si>
  <si>
    <t>Jun</t>
  </si>
  <si>
    <t>Jul</t>
  </si>
  <si>
    <t>Aug</t>
  </si>
  <si>
    <t>Sep</t>
  </si>
  <si>
    <t>Oct</t>
  </si>
  <si>
    <t>Nov</t>
  </si>
  <si>
    <t>Dec</t>
  </si>
  <si>
    <t>Delhi</t>
  </si>
  <si>
    <t>Guna</t>
  </si>
  <si>
    <t>Maheshtala</t>
  </si>
  <si>
    <t>North Dumdum</t>
  </si>
  <si>
    <t>Vellore</t>
  </si>
  <si>
    <t>Mumbai</t>
  </si>
  <si>
    <t>s</t>
  </si>
  <si>
    <t>Female</t>
  </si>
  <si>
    <t>Male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</si>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</sst>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0.00\ \-&quot;₹&quot;;&quot;₹&quot;\ #,##0.00"/>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rgb="FF03045E"/>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2" borderId="0" xfId="0" applyFill="1"/>
    <xf numFmtId="2" fontId="0" fillId="0" borderId="0" xfId="0" applyNumberFormat="1" applyAlignment="1">
      <alignment horizontal="right"/>
    </xf>
    <xf numFmtId="164" fontId="0" fillId="0" borderId="0" xfId="0" applyNumberFormat="1"/>
    <xf numFmtId="2" fontId="0" fillId="0" borderId="0" xfId="0" applyNumberFormat="1"/>
    <xf numFmtId="10" fontId="0" fillId="0" borderId="0" xfId="0" applyNumberFormat="1"/>
    <xf numFmtId="0" fontId="0" fillId="0" borderId="0" xfId="0" applyNumberFormat="1"/>
    <xf numFmtId="165" fontId="0" fillId="0" borderId="0" xfId="0" applyNumberFormat="1"/>
  </cellXfs>
  <cellStyles count="1">
    <cellStyle name="Normal" xfId="0" builtinId="0"/>
  </cellStyles>
  <dxfs count="51">
    <dxf>
      <alignment horizontal="left" relativeIndent="1"/>
    </dxf>
    <dxf>
      <alignment relativeIndent="1"/>
    </dxf>
    <dxf>
      <alignment relativeIndent="1"/>
    </dxf>
    <dxf>
      <alignment relativeIndent="1"/>
    </dxf>
    <dxf>
      <alignment relativeIndent="1"/>
    </dxf>
    <dxf>
      <numFmt numFmtId="2" formatCode="0.00"/>
    </dxf>
    <dxf>
      <alignment relativeIndent="1"/>
    </dxf>
    <dxf>
      <alignment relativeIndent="1"/>
    </dxf>
    <dxf>
      <alignment horizontal="center" indent="0"/>
    </dxf>
    <dxf>
      <alignment horizontal="right"/>
    </dxf>
    <dxf>
      <alignment horizontal="left" relativeIndent="1"/>
    </dxf>
    <dxf>
      <alignment relativeIndent="1"/>
    </dxf>
    <dxf>
      <alignment relativeIndent="1"/>
    </dxf>
    <dxf>
      <alignment relativeIndent="1"/>
    </dxf>
    <dxf>
      <alignment relativeIndent="1"/>
    </dxf>
    <dxf>
      <numFmt numFmtId="2" formatCode="0.00"/>
    </dxf>
    <dxf>
      <alignment relativeIndent="1"/>
    </dxf>
    <dxf>
      <alignment relativeIndent="1"/>
    </dxf>
    <dxf>
      <alignment horizontal="center" indent="0"/>
    </dxf>
    <dxf>
      <alignment horizontal="right"/>
    </dxf>
    <dxf>
      <alignment horizontal="left" relativeIndent="1"/>
    </dxf>
    <dxf>
      <alignment relativeIndent="1"/>
    </dxf>
    <dxf>
      <alignment relativeIndent="1"/>
    </dxf>
    <dxf>
      <alignment relativeIndent="1"/>
    </dxf>
    <dxf>
      <alignment relativeIndent="1"/>
    </dxf>
    <dxf>
      <numFmt numFmtId="2" formatCode="0.00"/>
    </dxf>
    <dxf>
      <alignment relativeIndent="1"/>
    </dxf>
    <dxf>
      <alignment relativeIndent="1"/>
    </dxf>
    <dxf>
      <alignment horizontal="center" indent="0"/>
    </dxf>
    <dxf>
      <alignment horizontal="right"/>
    </dxf>
    <dxf>
      <alignment horizontal="left" relativeIndent="1"/>
    </dxf>
    <dxf>
      <alignment relativeIndent="1"/>
    </dxf>
    <dxf>
      <alignment relativeIndent="1"/>
    </dxf>
    <dxf>
      <alignment relativeIndent="1"/>
    </dxf>
    <dxf>
      <alignment relativeIndent="1"/>
    </dxf>
    <dxf>
      <numFmt numFmtId="2" formatCode="0.00"/>
    </dxf>
    <dxf>
      <alignment relativeIndent="1"/>
    </dxf>
    <dxf>
      <alignment relativeIndent="1"/>
    </dxf>
    <dxf>
      <alignment horizontal="center" indent="0"/>
    </dxf>
    <dxf>
      <alignment horizontal="right"/>
    </dxf>
    <dxf>
      <alignment horizontal="right"/>
    </dxf>
    <dxf>
      <alignment horizontal="center" indent="0"/>
    </dxf>
    <dxf>
      <alignment relativeIndent="1"/>
    </dxf>
    <dxf>
      <alignment relativeIndent="1"/>
    </dxf>
    <dxf>
      <numFmt numFmtId="2" formatCode="0.00"/>
    </dxf>
    <dxf>
      <alignment relativeIndent="1"/>
    </dxf>
    <dxf>
      <alignment relativeIndent="1"/>
    </dxf>
    <dxf>
      <alignment relativeIndent="1"/>
    </dxf>
    <dxf>
      <alignment relativeIndent="1"/>
    </dxf>
    <dxf>
      <alignment horizontal="left" relativeIndent="1"/>
    </dxf>
    <dxf>
      <fill>
        <patternFill>
          <fgColor rgb="FFBB759F"/>
          <bgColor rgb="FFFFCCFF"/>
        </patternFill>
      </fill>
    </dxf>
  </dxfs>
  <tableStyles count="1" defaultTableStyle="TableStyleMedium2" defaultPivotStyle="PivotStyleLight16">
    <tableStyle name="Slicer Style 1" pivot="0" table="0" count="8" xr9:uid="{3FDB0D06-1AA6-424D-AFC8-6FD5146DF3AF}">
      <tableStyleElement type="wholeTable" dxfId="50"/>
    </tableStyle>
  </tableStyles>
  <colors>
    <mruColors>
      <color rgb="FFCAF0F8"/>
      <color rgb="FFAC148F"/>
      <color rgb="FFFFCCFF"/>
      <color rgb="FFFAC6FA"/>
      <color rgb="FFFF6699"/>
      <color rgb="FFBB759F"/>
      <color rgb="FFE01ABA"/>
      <color rgb="FFE72744"/>
      <color rgb="FF00B4D8"/>
      <color rgb="FF580A4D"/>
    </mruColors>
  </colors>
  <extLst>
    <ext xmlns:x14="http://schemas.microsoft.com/office/spreadsheetml/2009/9/main" uri="{46F421CA-312F-682f-3DD2-61675219B42D}">
      <x14:dxfs count="7">
        <dxf>
          <font>
            <sz val="20"/>
            <color theme="0"/>
          </font>
          <fill>
            <patternFill>
              <bgColor rgb="FFAC148F"/>
            </patternFill>
          </fill>
        </dxf>
        <dxf>
          <font>
            <sz val="20"/>
            <color theme="0"/>
          </font>
          <fill>
            <patternFill>
              <bgColor rgb="FFAC148F"/>
            </patternFill>
          </fill>
        </dxf>
        <dxf>
          <font>
            <sz val="20"/>
            <color theme="0"/>
          </font>
          <fill>
            <patternFill>
              <bgColor rgb="FFAC148F"/>
            </patternFill>
          </fill>
        </dxf>
        <dxf>
          <font>
            <sz val="20"/>
            <color theme="0"/>
          </font>
          <fill>
            <patternFill>
              <bgColor rgb="FFAC148F"/>
            </patternFill>
          </fill>
        </dxf>
        <dxf>
          <font>
            <sz val="20"/>
            <color theme="0"/>
          </font>
          <fill>
            <patternFill>
              <bgColor rgb="FFAC148F"/>
            </patternFill>
          </fill>
        </dxf>
        <dxf>
          <font>
            <sz val="20"/>
            <color theme="0"/>
          </font>
          <fill>
            <patternFill>
              <bgColor rgb="FFAC148F"/>
            </patternFill>
          </fill>
        </dxf>
        <dxf>
          <font>
            <sz val="20"/>
            <color theme="0"/>
          </font>
          <fill>
            <patternFill>
              <bgColor rgb="FFAC148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Charts!PivotTable2</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latin typeface="Arial" panose="020B0604020202020204" pitchFamily="34" charset="0"/>
                <a:ea typeface="+mn-ea"/>
                <a:cs typeface="Arial" panose="020B0604020202020204" pitchFamily="34" charset="0"/>
              </a:defRPr>
            </a:pPr>
            <a:r>
              <a:rPr lang="en-US">
                <a:solidFill>
                  <a:schemeClr val="tx1"/>
                </a:solidFill>
                <a:effectLst/>
                <a:latin typeface="Arial" panose="020B0604020202020204" pitchFamily="34" charset="0"/>
                <a:cs typeface="Arial" panose="020B0604020202020204" pitchFamily="34" charset="0"/>
              </a:rPr>
              <a:t>Revenue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C148F"/>
          </a:solidFill>
          <a:ln>
            <a:solidFill>
              <a:srgbClr val="AC148F"/>
            </a:solidFill>
          </a:ln>
          <a:effectLst>
            <a:outerShdw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Charts'!$C$5</c:f>
              <c:strCache>
                <c:ptCount val="1"/>
                <c:pt idx="0">
                  <c:v>Total</c:v>
                </c:pt>
              </c:strCache>
            </c:strRef>
          </c:tx>
          <c:spPr>
            <a:solidFill>
              <a:srgbClr val="AC148F"/>
            </a:solidFill>
            <a:ln>
              <a:solidFill>
                <a:srgbClr val="AC148F"/>
              </a:solidFill>
            </a:ln>
            <a:effectLst>
              <a:outerShdw dist="19050" dir="5400000" algn="ctr" rotWithShape="0">
                <a:srgbClr val="000000">
                  <a:alpha val="63000"/>
                </a:srgbClr>
              </a:outerShdw>
            </a:effectLst>
          </c:spPr>
          <c:invertIfNegative val="0"/>
          <c:cat>
            <c:strRef>
              <c:f>'Pivot Charts'!$B$6:$B$18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Charts'!$C$6:$C$18</c:f>
              <c:numCache>
                <c:formatCode>"₹"\ #,##0.00;#,##0.00\ \-"₹";"₹"\ #,##0.00</c:formatCode>
                <c:ptCount val="12"/>
                <c:pt idx="0">
                  <c:v>171035</c:v>
                </c:pt>
                <c:pt idx="1">
                  <c:v>743344</c:v>
                </c:pt>
                <c:pt idx="2">
                  <c:v>578602</c:v>
                </c:pt>
                <c:pt idx="3">
                  <c:v>200639</c:v>
                </c:pt>
                <c:pt idx="4">
                  <c:v>233144</c:v>
                </c:pt>
                <c:pt idx="5">
                  <c:v>205801</c:v>
                </c:pt>
                <c:pt idx="6">
                  <c:v>209068</c:v>
                </c:pt>
                <c:pt idx="7">
                  <c:v>667001</c:v>
                </c:pt>
                <c:pt idx="8">
                  <c:v>178265</c:v>
                </c:pt>
                <c:pt idx="9">
                  <c:v>202749</c:v>
                </c:pt>
                <c:pt idx="10">
                  <c:v>649525</c:v>
                </c:pt>
                <c:pt idx="11">
                  <c:v>210252</c:v>
                </c:pt>
              </c:numCache>
            </c:numRef>
          </c:val>
          <c:extLst>
            <c:ext xmlns:c16="http://schemas.microsoft.com/office/drawing/2014/chart" uri="{C3380CC4-5D6E-409C-BE32-E72D297353CC}">
              <c16:uniqueId val="{00000002-3227-4306-B461-00AD9F761755}"/>
            </c:ext>
          </c:extLst>
        </c:ser>
        <c:dLbls>
          <c:showLegendKey val="0"/>
          <c:showVal val="0"/>
          <c:showCatName val="0"/>
          <c:showSerName val="0"/>
          <c:showPercent val="0"/>
          <c:showBubbleSize val="0"/>
        </c:dLbls>
        <c:gapWidth val="100"/>
        <c:axId val="1608909583"/>
        <c:axId val="1608908751"/>
      </c:barChart>
      <c:catAx>
        <c:axId val="160890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08908751"/>
        <c:crosses val="autoZero"/>
        <c:auto val="1"/>
        <c:lblAlgn val="ctr"/>
        <c:lblOffset val="100"/>
        <c:noMultiLvlLbl val="0"/>
      </c:catAx>
      <c:valAx>
        <c:axId val="160890875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08909583"/>
        <c:crosses val="autoZero"/>
        <c:crossBetween val="between"/>
      </c:valAx>
      <c:spPr>
        <a:noFill/>
        <a:ln>
          <a:noFill/>
        </a:ln>
        <a:effectLst/>
      </c:spPr>
    </c:plotArea>
    <c:plotVisOnly val="1"/>
    <c:dispBlanksAs val="gap"/>
    <c:showDLblsOverMax val="0"/>
    <c:extLst/>
  </c:chart>
  <c:spPr>
    <a:solidFill>
      <a:srgbClr val="CAF0F8"/>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dashboard.xlsx]Pivot Charts!PivotTable3</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latin typeface="Arial" panose="020B0604020202020204" pitchFamily="34" charset="0"/>
                <a:ea typeface="+mn-ea"/>
                <a:cs typeface="Arial" panose="020B0604020202020204" pitchFamily="34" charset="0"/>
              </a:defRPr>
            </a:pPr>
            <a:r>
              <a:rPr lang="en-IN"/>
              <a:t>Top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C148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Charts'!$G$2</c:f>
              <c:strCache>
                <c:ptCount val="1"/>
                <c:pt idx="0">
                  <c:v>Total</c:v>
                </c:pt>
              </c:strCache>
            </c:strRef>
          </c:tx>
          <c:spPr>
            <a:solidFill>
              <a:srgbClr val="AC148F"/>
            </a:solidFill>
            <a:ln>
              <a:noFill/>
            </a:ln>
            <a:effectLst>
              <a:outerShdw blurRad="57150" dist="19050" dir="5400000" algn="ctr" rotWithShape="0">
                <a:srgbClr val="000000">
                  <a:alpha val="63000"/>
                </a:srgbClr>
              </a:outerShdw>
            </a:effectLst>
          </c:spPr>
          <c:invertIfNegative val="0"/>
          <c:cat>
            <c:strRef>
              <c:f>'Pivot Charts'!$F$3:$F$13</c:f>
              <c:strCache>
                <c:ptCount val="10"/>
                <c:pt idx="0">
                  <c:v>Electronics</c:v>
                </c:pt>
                <c:pt idx="1">
                  <c:v>Shoes</c:v>
                </c:pt>
                <c:pt idx="2">
                  <c:v>Accessories</c:v>
                </c:pt>
                <c:pt idx="3">
                  <c:v>Trousers</c:v>
                </c:pt>
                <c:pt idx="4">
                  <c:v>Fitness</c:v>
                </c:pt>
                <c:pt idx="5">
                  <c:v>Appliances</c:v>
                </c:pt>
                <c:pt idx="6">
                  <c:v>Beauty</c:v>
                </c:pt>
                <c:pt idx="7">
                  <c:v>Watch</c:v>
                </c:pt>
                <c:pt idx="8">
                  <c:v>Home Textile</c:v>
                </c:pt>
                <c:pt idx="9">
                  <c:v>Personal Care</c:v>
                </c:pt>
              </c:strCache>
            </c:strRef>
          </c:cat>
          <c:val>
            <c:numRef>
              <c:f>'Pivot Charts'!$G$3:$G$13</c:f>
              <c:numCache>
                <c:formatCode>"₹"\ #,##0.00;#,##0.00\ \-"₹";"₹"\ #,##0.00</c:formatCode>
                <c:ptCount val="10"/>
                <c:pt idx="0">
                  <c:v>626256</c:v>
                </c:pt>
                <c:pt idx="1">
                  <c:v>331257</c:v>
                </c:pt>
                <c:pt idx="2">
                  <c:v>299436</c:v>
                </c:pt>
                <c:pt idx="3">
                  <c:v>298217</c:v>
                </c:pt>
                <c:pt idx="4">
                  <c:v>278504</c:v>
                </c:pt>
                <c:pt idx="5">
                  <c:v>251439</c:v>
                </c:pt>
                <c:pt idx="6">
                  <c:v>222008</c:v>
                </c:pt>
                <c:pt idx="7">
                  <c:v>212961</c:v>
                </c:pt>
                <c:pt idx="8">
                  <c:v>209048</c:v>
                </c:pt>
                <c:pt idx="9">
                  <c:v>175121</c:v>
                </c:pt>
              </c:numCache>
            </c:numRef>
          </c:val>
          <c:extLst>
            <c:ext xmlns:c16="http://schemas.microsoft.com/office/drawing/2014/chart" uri="{C3380CC4-5D6E-409C-BE32-E72D297353CC}">
              <c16:uniqueId val="{00000002-8556-467B-A840-6971CC9860B5}"/>
            </c:ext>
          </c:extLst>
        </c:ser>
        <c:dLbls>
          <c:showLegendKey val="0"/>
          <c:showVal val="0"/>
          <c:showCatName val="0"/>
          <c:showSerName val="0"/>
          <c:showPercent val="0"/>
          <c:showBubbleSize val="0"/>
        </c:dLbls>
        <c:gapWidth val="100"/>
        <c:overlap val="-24"/>
        <c:axId val="1608909583"/>
        <c:axId val="1608908751"/>
      </c:barChart>
      <c:catAx>
        <c:axId val="160890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08908751"/>
        <c:crosses val="autoZero"/>
        <c:auto val="1"/>
        <c:lblAlgn val="ctr"/>
        <c:lblOffset val="100"/>
        <c:noMultiLvlLbl val="0"/>
      </c:catAx>
      <c:valAx>
        <c:axId val="160890875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08909583"/>
        <c:crosses val="autoZero"/>
        <c:crossBetween val="between"/>
      </c:valAx>
      <c:spPr>
        <a:noFill/>
        <a:ln>
          <a:noFill/>
        </a:ln>
        <a:effectLst/>
      </c:spPr>
    </c:plotArea>
    <c:plotVisOnly val="1"/>
    <c:dispBlanksAs val="gap"/>
    <c:showDLblsOverMax val="0"/>
    <c:extLst/>
  </c:chart>
  <c:spPr>
    <a:solidFill>
      <a:srgbClr val="CAF0F8"/>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dashboard.xlsx]Pivot Charts!PivotTable5</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latin typeface="Arial" panose="020B0604020202020204" pitchFamily="34" charset="0"/>
                <a:ea typeface="+mn-ea"/>
                <a:cs typeface="Arial" panose="020B0604020202020204" pitchFamily="34" charset="0"/>
              </a:defRPr>
            </a:pPr>
            <a:r>
              <a:rPr lang="en-IN"/>
              <a:t>Top Cities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03045E"/>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3045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C148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Charts'!$G$16</c:f>
              <c:strCache>
                <c:ptCount val="1"/>
                <c:pt idx="0">
                  <c:v>Total</c:v>
                </c:pt>
              </c:strCache>
            </c:strRef>
          </c:tx>
          <c:spPr>
            <a:solidFill>
              <a:srgbClr val="AC148F"/>
            </a:solidFill>
            <a:ln>
              <a:noFill/>
            </a:ln>
            <a:effectLst>
              <a:outerShdw blurRad="57150" dist="19050" dir="5400000" algn="ctr" rotWithShape="0">
                <a:srgbClr val="000000">
                  <a:alpha val="63000"/>
                </a:srgbClr>
              </a:outerShdw>
            </a:effectLst>
          </c:spPr>
          <c:invertIfNegative val="0"/>
          <c:cat>
            <c:strRef>
              <c:f>'Pivot Charts'!$F$17:$F$27</c:f>
              <c:strCache>
                <c:ptCount val="10"/>
                <c:pt idx="0">
                  <c:v>Delhi</c:v>
                </c:pt>
                <c:pt idx="1">
                  <c:v>Mumbai</c:v>
                </c:pt>
                <c:pt idx="2">
                  <c:v>Maheshtala</c:v>
                </c:pt>
                <c:pt idx="3">
                  <c:v>Guntakal</c:v>
                </c:pt>
                <c:pt idx="4">
                  <c:v>Dibrugarh</c:v>
                </c:pt>
                <c:pt idx="5">
                  <c:v>Vellore</c:v>
                </c:pt>
                <c:pt idx="6">
                  <c:v>Guna</c:v>
                </c:pt>
                <c:pt idx="7">
                  <c:v>Panchkula</c:v>
                </c:pt>
                <c:pt idx="8">
                  <c:v>Haridwar</c:v>
                </c:pt>
                <c:pt idx="9">
                  <c:v>North Dumdum</c:v>
                </c:pt>
              </c:strCache>
            </c:strRef>
          </c:cat>
          <c:val>
            <c:numRef>
              <c:f>'Pivot Charts'!$G$17:$G$27</c:f>
              <c:numCache>
                <c:formatCode>General</c:formatCode>
                <c:ptCount val="10"/>
                <c:pt idx="0">
                  <c:v>47651</c:v>
                </c:pt>
                <c:pt idx="1">
                  <c:v>16844</c:v>
                </c:pt>
                <c:pt idx="2">
                  <c:v>12897</c:v>
                </c:pt>
                <c:pt idx="3">
                  <c:v>12680</c:v>
                </c:pt>
                <c:pt idx="4">
                  <c:v>12253</c:v>
                </c:pt>
                <c:pt idx="5">
                  <c:v>11942</c:v>
                </c:pt>
                <c:pt idx="6">
                  <c:v>11564</c:v>
                </c:pt>
                <c:pt idx="7">
                  <c:v>11549</c:v>
                </c:pt>
                <c:pt idx="8">
                  <c:v>11146</c:v>
                </c:pt>
                <c:pt idx="9">
                  <c:v>10851</c:v>
                </c:pt>
              </c:numCache>
            </c:numRef>
          </c:val>
          <c:extLst>
            <c:ext xmlns:c16="http://schemas.microsoft.com/office/drawing/2014/chart" uri="{C3380CC4-5D6E-409C-BE32-E72D297353CC}">
              <c16:uniqueId val="{00000002-0112-406D-957E-E9965AE7099A}"/>
            </c:ext>
          </c:extLst>
        </c:ser>
        <c:dLbls>
          <c:showLegendKey val="0"/>
          <c:showVal val="0"/>
          <c:showCatName val="0"/>
          <c:showSerName val="0"/>
          <c:showPercent val="0"/>
          <c:showBubbleSize val="0"/>
        </c:dLbls>
        <c:gapWidth val="100"/>
        <c:overlap val="-24"/>
        <c:axId val="1608909583"/>
        <c:axId val="1608908751"/>
      </c:barChart>
      <c:catAx>
        <c:axId val="160890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08908751"/>
        <c:crosses val="autoZero"/>
        <c:auto val="1"/>
        <c:lblAlgn val="ctr"/>
        <c:lblOffset val="100"/>
        <c:noMultiLvlLbl val="0"/>
      </c:catAx>
      <c:valAx>
        <c:axId val="160890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08909583"/>
        <c:crosses val="autoZero"/>
        <c:crossBetween val="between"/>
      </c:valAx>
      <c:spPr>
        <a:noFill/>
        <a:ln>
          <a:noFill/>
        </a:ln>
        <a:effectLst/>
      </c:spPr>
    </c:plotArea>
    <c:plotVisOnly val="1"/>
    <c:dispBlanksAs val="gap"/>
    <c:showDLblsOverMax val="0"/>
    <c:extLst/>
  </c:chart>
  <c:spPr>
    <a:solidFill>
      <a:srgbClr val="CAF0F8"/>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Charts!PivotTable1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600" b="1">
                <a:solidFill>
                  <a:sysClr val="windowText" lastClr="000000"/>
                </a:solidFill>
              </a:rPr>
              <a:t>Mode of </a:t>
            </a:r>
          </a:p>
          <a:p>
            <a:pPr>
              <a:defRPr b="1">
                <a:solidFill>
                  <a:sysClr val="windowText" lastClr="000000"/>
                </a:solidFill>
              </a:defRPr>
            </a:pPr>
            <a:r>
              <a:rPr lang="en-US" sz="1600" b="1">
                <a:solidFill>
                  <a:sysClr val="windowText" lastClr="000000"/>
                </a:solidFill>
              </a:rPr>
              <a:t>Payment</a:t>
            </a:r>
          </a:p>
        </c:rich>
      </c:tx>
      <c:layout>
        <c:manualLayout>
          <c:xMode val="edge"/>
          <c:yMode val="edge"/>
          <c:x val="1.0218079269070767E-2"/>
          <c:y val="1.30170242658786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007895643518874"/>
                  <c:h val="0.242570448757565"/>
                </c:manualLayout>
              </c15:layout>
            </c:ext>
          </c:extLst>
        </c:dLbl>
      </c:pivotFmt>
    </c:pivotFmts>
    <c:plotArea>
      <c:layout>
        <c:manualLayout>
          <c:layoutTarget val="inner"/>
          <c:xMode val="edge"/>
          <c:yMode val="edge"/>
          <c:x val="6.0631275487045701E-2"/>
          <c:y val="0.19310372950375931"/>
          <c:w val="0.88896011050746337"/>
          <c:h val="0.78003900630934786"/>
        </c:manualLayout>
      </c:layout>
      <c:doughnutChart>
        <c:varyColors val="1"/>
        <c:ser>
          <c:idx val="0"/>
          <c:order val="0"/>
          <c:tx>
            <c:strRef>
              <c:f>'Pivot Charts'!$K$23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33-4A4E-A771-7BCFA84D99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33-4A4E-A771-7BCFA84D9991}"/>
              </c:ext>
            </c:extLst>
          </c:dPt>
          <c:dLbls>
            <c:dLbl>
              <c:idx val="1"/>
              <c:showLegendKey val="0"/>
              <c:showVal val="0"/>
              <c:showCatName val="1"/>
              <c:showSerName val="0"/>
              <c:showPercent val="1"/>
              <c:showBubbleSize val="0"/>
              <c:extLst>
                <c:ext xmlns:c15="http://schemas.microsoft.com/office/drawing/2012/chart" uri="{CE6537A1-D6FC-4f65-9D91-7224C49458BB}">
                  <c15:layout>
                    <c:manualLayout>
                      <c:w val="0.25007895643518874"/>
                      <c:h val="0.242570448757565"/>
                    </c:manualLayout>
                  </c15:layout>
                </c:ext>
                <c:ext xmlns:c16="http://schemas.microsoft.com/office/drawing/2014/chart" uri="{C3380CC4-5D6E-409C-BE32-E72D297353CC}">
                  <c16:uniqueId val="{00000003-9533-4A4E-A771-7BCFA84D999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Charts'!$J$24:$J$26</c:f>
              <c:strCache>
                <c:ptCount val="2"/>
                <c:pt idx="0">
                  <c:v>COD</c:v>
                </c:pt>
                <c:pt idx="1">
                  <c:v>Online</c:v>
                </c:pt>
              </c:strCache>
            </c:strRef>
          </c:cat>
          <c:val>
            <c:numRef>
              <c:f>'Pivot Charts'!$K$24:$K$26</c:f>
              <c:numCache>
                <c:formatCode>General</c:formatCode>
                <c:ptCount val="2"/>
                <c:pt idx="0">
                  <c:v>292336</c:v>
                </c:pt>
                <c:pt idx="1">
                  <c:v>313214</c:v>
                </c:pt>
              </c:numCache>
            </c:numRef>
          </c:val>
          <c:extLst>
            <c:ext xmlns:c16="http://schemas.microsoft.com/office/drawing/2014/chart" uri="{C3380CC4-5D6E-409C-BE32-E72D297353CC}">
              <c16:uniqueId val="{00000006-D585-4DDD-B62C-F3A1121A392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Charts!PivotTable7</c:name>
    <c:fmtId val="6"/>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a:solidFill>
                  <a:sysClr val="windowText" lastClr="000000"/>
                </a:solidFill>
              </a:rPr>
              <a:t>Number of Orders per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AC148F"/>
            </a:solidFill>
            <a:round/>
          </a:ln>
          <a:effectLst>
            <a:outerShdw blurRad="57150" dir="5400000" algn="ctr" rotWithShape="0">
              <a:srgbClr val="000000">
                <a:alpha val="7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Charts'!$K$12</c:f>
              <c:strCache>
                <c:ptCount val="1"/>
                <c:pt idx="0">
                  <c:v>Total</c:v>
                </c:pt>
              </c:strCache>
            </c:strRef>
          </c:tx>
          <c:spPr>
            <a:ln w="34925" cap="rnd">
              <a:solidFill>
                <a:srgbClr val="AC148F"/>
              </a:solidFill>
              <a:round/>
            </a:ln>
            <a:effectLst>
              <a:outerShdw blurRad="57150" dir="5400000" algn="ctr" rotWithShape="0">
                <a:srgbClr val="000000">
                  <a:alpha val="73000"/>
                </a:srgbClr>
              </a:outerShdw>
            </a:effectLst>
          </c:spPr>
          <c:marker>
            <c:symbol val="none"/>
          </c:marker>
          <c:cat>
            <c:strRef>
              <c:f>'Pivot Charts'!$J$13:$J$20</c:f>
              <c:strCache>
                <c:ptCount val="7"/>
                <c:pt idx="0">
                  <c:v>Sunday</c:v>
                </c:pt>
                <c:pt idx="1">
                  <c:v>Monday</c:v>
                </c:pt>
                <c:pt idx="2">
                  <c:v>Tuesday</c:v>
                </c:pt>
                <c:pt idx="3">
                  <c:v>Wednesday</c:v>
                </c:pt>
                <c:pt idx="4">
                  <c:v>Thursday</c:v>
                </c:pt>
                <c:pt idx="5">
                  <c:v>Friday</c:v>
                </c:pt>
                <c:pt idx="6">
                  <c:v>Saturday</c:v>
                </c:pt>
              </c:strCache>
            </c:strRef>
          </c:cat>
          <c:val>
            <c:numRef>
              <c:f>'Pivot Charts'!$K$13:$K$20</c:f>
              <c:numCache>
                <c:formatCode>General</c:formatCode>
                <c:ptCount val="7"/>
                <c:pt idx="0">
                  <c:v>102819</c:v>
                </c:pt>
                <c:pt idx="1">
                  <c:v>76559</c:v>
                </c:pt>
                <c:pt idx="2">
                  <c:v>103364</c:v>
                </c:pt>
                <c:pt idx="3">
                  <c:v>75477</c:v>
                </c:pt>
                <c:pt idx="4">
                  <c:v>80460</c:v>
                </c:pt>
                <c:pt idx="5">
                  <c:v>86301</c:v>
                </c:pt>
                <c:pt idx="6">
                  <c:v>80570</c:v>
                </c:pt>
              </c:numCache>
            </c:numRef>
          </c:val>
          <c:smooth val="0"/>
          <c:extLst>
            <c:ext xmlns:c16="http://schemas.microsoft.com/office/drawing/2014/chart" uri="{C3380CC4-5D6E-409C-BE32-E72D297353CC}">
              <c16:uniqueId val="{00000002-3480-406B-B37A-4CA64CAE186A}"/>
            </c:ext>
          </c:extLst>
        </c:ser>
        <c:dLbls>
          <c:showLegendKey val="0"/>
          <c:showVal val="0"/>
          <c:showCatName val="0"/>
          <c:showSerName val="0"/>
          <c:showPercent val="0"/>
          <c:showBubbleSize val="0"/>
        </c:dLbls>
        <c:smooth val="0"/>
        <c:axId val="1619514623"/>
        <c:axId val="1619515039"/>
      </c:lineChart>
      <c:catAx>
        <c:axId val="1619514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619515039"/>
        <c:crosses val="autoZero"/>
        <c:auto val="1"/>
        <c:lblAlgn val="ctr"/>
        <c:lblOffset val="100"/>
        <c:noMultiLvlLbl val="0"/>
      </c:catAx>
      <c:valAx>
        <c:axId val="1619515039"/>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61951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Charts!PivotTable8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No. of orders </a:t>
            </a:r>
          </a:p>
          <a:p>
            <a:pPr>
              <a:defRPr/>
            </a:pPr>
            <a:r>
              <a:rPr lang="en-US" sz="1600" b="1">
                <a:solidFill>
                  <a:sysClr val="windowText" lastClr="000000"/>
                </a:solidFill>
              </a:rPr>
              <a:t>by Gender</a:t>
            </a:r>
          </a:p>
        </c:rich>
      </c:tx>
      <c:layout>
        <c:manualLayout>
          <c:xMode val="edge"/>
          <c:yMode val="edge"/>
          <c:x val="2.0989954571347665E-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608858267716546"/>
              <c:y val="-7.4697433654126568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6855566491688539"/>
              <c:y val="-3.90110090405366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608858267716546"/>
              <c:y val="-7.4697433654126568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855566491688539"/>
              <c:y val="-3.90110090405366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12979732469809"/>
              <c:y val="-6.0347077660710041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053590199444739"/>
                  <c:h val="0.29010213030412063"/>
                </c:manualLayout>
              </c15:layout>
            </c:ext>
          </c:extLst>
        </c:dLbl>
      </c:pivotFmt>
      <c:pivotFmt>
        <c:idx val="8"/>
        <c:spPr>
          <a:solidFill>
            <a:schemeClr val="accent1"/>
          </a:solidFill>
          <a:ln w="19050">
            <a:solidFill>
              <a:schemeClr val="lt1"/>
            </a:solidFill>
          </a:ln>
          <a:effectLst/>
        </c:spPr>
        <c:dLbl>
          <c:idx val="0"/>
          <c:layout>
            <c:manualLayout>
              <c:x val="0.26542118868065823"/>
              <c:y val="-3.901094494307516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7198081771729754"/>
              <c:y val="-2.68243457223854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800430634798704"/>
              <c:y val="4.452840133439975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120228206781554"/>
                  <c:h val="0.32101537931850399"/>
                </c:manualLayout>
              </c15:layout>
            </c:ext>
          </c:extLst>
        </c:dLbl>
      </c:pivotFmt>
    </c:pivotFmts>
    <c:plotArea>
      <c:layout>
        <c:manualLayout>
          <c:layoutTarget val="inner"/>
          <c:xMode val="edge"/>
          <c:yMode val="edge"/>
          <c:x val="0.16266048943554609"/>
          <c:y val="0.13870197848806487"/>
          <c:w val="0.80138907197634834"/>
          <c:h val="0.84727022551004849"/>
        </c:manualLayout>
      </c:layout>
      <c:pieChart>
        <c:varyColors val="1"/>
        <c:ser>
          <c:idx val="0"/>
          <c:order val="0"/>
          <c:tx>
            <c:strRef>
              <c:f>'Pivot Charts'!$N$23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2F-4D8E-89D5-2C041D98EA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2F-4D8E-89D5-2C041D98EA0F}"/>
              </c:ext>
            </c:extLst>
          </c:dPt>
          <c:dLbls>
            <c:dLbl>
              <c:idx val="0"/>
              <c:layout>
                <c:manualLayout>
                  <c:x val="-0.12800430634798704"/>
                  <c:y val="4.4528401334399757E-3"/>
                </c:manualLayout>
              </c:layout>
              <c:showLegendKey val="0"/>
              <c:showVal val="1"/>
              <c:showCatName val="1"/>
              <c:showSerName val="0"/>
              <c:showPercent val="0"/>
              <c:showBubbleSize val="0"/>
              <c:extLst>
                <c:ext xmlns:c15="http://schemas.microsoft.com/office/drawing/2012/chart" uri="{CE6537A1-D6FC-4f65-9D91-7224C49458BB}">
                  <c15:layout>
                    <c:manualLayout>
                      <c:w val="0.23120228206781554"/>
                      <c:h val="0.32101537931850399"/>
                    </c:manualLayout>
                  </c15:layout>
                </c:ext>
                <c:ext xmlns:c16="http://schemas.microsoft.com/office/drawing/2014/chart" uri="{C3380CC4-5D6E-409C-BE32-E72D297353CC}">
                  <c16:uniqueId val="{00000001-C82F-4D8E-89D5-2C041D98EA0F}"/>
                </c:ext>
              </c:extLst>
            </c:dLbl>
            <c:dLbl>
              <c:idx val="1"/>
              <c:layout>
                <c:manualLayout>
                  <c:x val="0.27198081771729754"/>
                  <c:y val="-2.68243457223854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2F-4D8E-89D5-2C041D98EA0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Charts'!$M$24:$M$26</c:f>
              <c:strCache>
                <c:ptCount val="2"/>
                <c:pt idx="0">
                  <c:v>Female</c:v>
                </c:pt>
                <c:pt idx="1">
                  <c:v>Male</c:v>
                </c:pt>
              </c:strCache>
            </c:strRef>
          </c:cat>
          <c:val>
            <c:numRef>
              <c:f>'Pivot Charts'!$N$24:$N$26</c:f>
              <c:numCache>
                <c:formatCode>0.00%</c:formatCode>
                <c:ptCount val="2"/>
                <c:pt idx="0">
                  <c:v>0.49272727272727274</c:v>
                </c:pt>
                <c:pt idx="1">
                  <c:v>0.50727272727272732</c:v>
                </c:pt>
              </c:numCache>
            </c:numRef>
          </c:val>
          <c:extLst>
            <c:ext xmlns:c16="http://schemas.microsoft.com/office/drawing/2014/chart" uri="{C3380CC4-5D6E-409C-BE32-E72D297353CC}">
              <c16:uniqueId val="{00000004-C82F-4D8E-89D5-2C041D98EA0F}"/>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Charts!PivotTable6</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Revenue distribution for Reason</a:t>
            </a:r>
            <a:r>
              <a:rPr lang="en-US" sz="1600" b="1" baseline="0">
                <a:solidFill>
                  <a:sysClr val="windowText" lastClr="000000"/>
                </a:solidFill>
              </a:rPr>
              <a:t> of Buying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8.51747536829775E-3"/>
          <c:y val="0.22666375036453776"/>
          <c:w val="0.65154878260575522"/>
          <c:h val="0.72346165062700496"/>
        </c:manualLayout>
      </c:layout>
      <c:pieChart>
        <c:varyColors val="1"/>
        <c:ser>
          <c:idx val="0"/>
          <c:order val="0"/>
          <c:tx>
            <c:strRef>
              <c:f>'Pivot Charts'!$K$2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64F-4AFA-B04B-1850BE422903}"/>
              </c:ext>
            </c:extLst>
          </c:dPt>
          <c:dPt>
            <c:idx val="1"/>
            <c:bubble3D val="0"/>
            <c:spPr>
              <a:solidFill>
                <a:schemeClr val="accent2"/>
              </a:solidFill>
              <a:ln w="19050">
                <a:noFill/>
              </a:ln>
              <a:effectLst/>
            </c:spPr>
            <c:extLst>
              <c:ext xmlns:c16="http://schemas.microsoft.com/office/drawing/2014/chart" uri="{C3380CC4-5D6E-409C-BE32-E72D297353CC}">
                <c16:uniqueId val="{00000003-164F-4AFA-B04B-1850BE422903}"/>
              </c:ext>
            </c:extLst>
          </c:dPt>
          <c:dPt>
            <c:idx val="2"/>
            <c:bubble3D val="0"/>
            <c:spPr>
              <a:solidFill>
                <a:schemeClr val="accent3"/>
              </a:solidFill>
              <a:ln w="19050">
                <a:noFill/>
              </a:ln>
              <a:effectLst/>
            </c:spPr>
            <c:extLst>
              <c:ext xmlns:c16="http://schemas.microsoft.com/office/drawing/2014/chart" uri="{C3380CC4-5D6E-409C-BE32-E72D297353CC}">
                <c16:uniqueId val="{00000005-164F-4AFA-B04B-1850BE422903}"/>
              </c:ext>
            </c:extLst>
          </c:dPt>
          <c:dPt>
            <c:idx val="3"/>
            <c:bubble3D val="0"/>
            <c:spPr>
              <a:solidFill>
                <a:schemeClr val="accent4"/>
              </a:solidFill>
              <a:ln w="19050">
                <a:noFill/>
              </a:ln>
              <a:effectLst/>
            </c:spPr>
            <c:extLst>
              <c:ext xmlns:c16="http://schemas.microsoft.com/office/drawing/2014/chart" uri="{C3380CC4-5D6E-409C-BE32-E72D297353CC}">
                <c16:uniqueId val="{00000007-164F-4AFA-B04B-1850BE422903}"/>
              </c:ext>
            </c:extLst>
          </c:dPt>
          <c:dPt>
            <c:idx val="4"/>
            <c:bubble3D val="0"/>
            <c:spPr>
              <a:solidFill>
                <a:schemeClr val="accent5"/>
              </a:solidFill>
              <a:ln w="19050">
                <a:noFill/>
              </a:ln>
              <a:effectLst/>
            </c:spPr>
            <c:extLst>
              <c:ext xmlns:c16="http://schemas.microsoft.com/office/drawing/2014/chart" uri="{C3380CC4-5D6E-409C-BE32-E72D297353CC}">
                <c16:uniqueId val="{00000009-164F-4AFA-B04B-1850BE422903}"/>
              </c:ext>
            </c:extLst>
          </c:dPt>
          <c:dPt>
            <c:idx val="5"/>
            <c:bubble3D val="0"/>
            <c:spPr>
              <a:solidFill>
                <a:schemeClr val="accent6"/>
              </a:solidFill>
              <a:ln w="19050">
                <a:noFill/>
              </a:ln>
              <a:effectLst/>
            </c:spPr>
            <c:extLst>
              <c:ext xmlns:c16="http://schemas.microsoft.com/office/drawing/2014/chart" uri="{C3380CC4-5D6E-409C-BE32-E72D297353CC}">
                <c16:uniqueId val="{0000000B-164F-4AFA-B04B-1850BE422903}"/>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Charts'!$J$3:$J$9</c:f>
              <c:strCache>
                <c:ptCount val="6"/>
                <c:pt idx="0">
                  <c:v>Ad Influence</c:v>
                </c:pt>
                <c:pt idx="1">
                  <c:v>Quality</c:v>
                </c:pt>
                <c:pt idx="2">
                  <c:v>Brand Trust</c:v>
                </c:pt>
                <c:pt idx="3">
                  <c:v>Easy Returns</c:v>
                </c:pt>
                <c:pt idx="4">
                  <c:v>Festival</c:v>
                </c:pt>
                <c:pt idx="5">
                  <c:v>Cashback Offers</c:v>
                </c:pt>
              </c:strCache>
            </c:strRef>
          </c:cat>
          <c:val>
            <c:numRef>
              <c:f>'Pivot Charts'!$K$3:$K$9</c:f>
              <c:numCache>
                <c:formatCode>"₹"\ #,##0.00;#,##0.00\ \-"₹";"₹"\ #,##0.00</c:formatCode>
                <c:ptCount val="6"/>
                <c:pt idx="0">
                  <c:v>1186687</c:v>
                </c:pt>
                <c:pt idx="1">
                  <c:v>859474</c:v>
                </c:pt>
                <c:pt idx="2">
                  <c:v>723876</c:v>
                </c:pt>
                <c:pt idx="3">
                  <c:v>668533</c:v>
                </c:pt>
                <c:pt idx="4">
                  <c:v>406239</c:v>
                </c:pt>
                <c:pt idx="5">
                  <c:v>404616</c:v>
                </c:pt>
              </c:numCache>
            </c:numRef>
          </c:val>
          <c:extLst>
            <c:ext xmlns:c16="http://schemas.microsoft.com/office/drawing/2014/chart" uri="{C3380CC4-5D6E-409C-BE32-E72D297353CC}">
              <c16:uniqueId val="{0000000C-164F-4AFA-B04B-1850BE42290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7206191912180071"/>
          <c:y val="0.27700244813105412"/>
          <c:w val="0.37138919881550264"/>
          <c:h val="0.59945762897928501"/>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472730</xdr:colOff>
      <xdr:row>6</xdr:row>
      <xdr:rowOff>111011</xdr:rowOff>
    </xdr:from>
    <xdr:to>
      <xdr:col>21</xdr:col>
      <xdr:colOff>65690</xdr:colOff>
      <xdr:row>19</xdr:row>
      <xdr:rowOff>43050</xdr:rowOff>
    </xdr:to>
    <xdr:graphicFrame macro="">
      <xdr:nvGraphicFramePr>
        <xdr:cNvPr id="2" name="Chart 1">
          <a:extLst>
            <a:ext uri="{FF2B5EF4-FFF2-40B4-BE49-F238E27FC236}">
              <a16:creationId xmlns:a16="http://schemas.microsoft.com/office/drawing/2014/main" id="{182A3695-0606-47CF-AB1B-9CD3089BF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415897</xdr:colOff>
      <xdr:row>16</xdr:row>
      <xdr:rowOff>10392</xdr:rowOff>
    </xdr:from>
    <xdr:to>
      <xdr:col>13</xdr:col>
      <xdr:colOff>301355</xdr:colOff>
      <xdr:row>35</xdr:row>
      <xdr:rowOff>32288</xdr:rowOff>
    </xdr:to>
    <xdr:graphicFrame macro="">
      <xdr:nvGraphicFramePr>
        <xdr:cNvPr id="3" name="Chart 2">
          <a:extLst>
            <a:ext uri="{FF2B5EF4-FFF2-40B4-BE49-F238E27FC236}">
              <a16:creationId xmlns:a16="http://schemas.microsoft.com/office/drawing/2014/main" id="{A787E849-8F34-436A-B728-535F1C5FA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149713</xdr:colOff>
      <xdr:row>15</xdr:row>
      <xdr:rowOff>182964</xdr:rowOff>
    </xdr:from>
    <xdr:to>
      <xdr:col>7</xdr:col>
      <xdr:colOff>279831</xdr:colOff>
      <xdr:row>35</xdr:row>
      <xdr:rowOff>32288</xdr:rowOff>
    </xdr:to>
    <xdr:graphicFrame macro="">
      <xdr:nvGraphicFramePr>
        <xdr:cNvPr id="6" name="Chart 5">
          <a:extLst>
            <a:ext uri="{FF2B5EF4-FFF2-40B4-BE49-F238E27FC236}">
              <a16:creationId xmlns:a16="http://schemas.microsoft.com/office/drawing/2014/main" id="{E1D016E7-D70F-4495-936D-81BF64D59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137581</xdr:colOff>
      <xdr:row>0</xdr:row>
      <xdr:rowOff>158751</xdr:rowOff>
    </xdr:from>
    <xdr:to>
      <xdr:col>32</xdr:col>
      <xdr:colOff>129152</xdr:colOff>
      <xdr:row>5</xdr:row>
      <xdr:rowOff>107628</xdr:rowOff>
    </xdr:to>
    <xdr:sp macro="" textlink="">
      <xdr:nvSpPr>
        <xdr:cNvPr id="7" name="Rectangle: Rounded Corners 6">
          <a:extLst>
            <a:ext uri="{FF2B5EF4-FFF2-40B4-BE49-F238E27FC236}">
              <a16:creationId xmlns:a16="http://schemas.microsoft.com/office/drawing/2014/main" id="{1233AC50-3A41-463C-BB07-A5E69643CF21}"/>
            </a:ext>
          </a:extLst>
        </xdr:cNvPr>
        <xdr:cNvSpPr/>
      </xdr:nvSpPr>
      <xdr:spPr>
        <a:xfrm>
          <a:off x="137581" y="158751"/>
          <a:ext cx="19622757" cy="863708"/>
        </a:xfrm>
        <a:prstGeom prst="roundRect">
          <a:avLst/>
        </a:prstGeom>
        <a:solidFill>
          <a:srgbClr val="00B4D8"/>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E-Commerce Sales</a:t>
          </a:r>
          <a:r>
            <a:rPr lang="en-IN" sz="4800" b="1" baseline="0"/>
            <a:t> Dashboard</a:t>
          </a:r>
          <a:endParaRPr lang="en-IN" sz="4800" b="1"/>
        </a:p>
      </xdr:txBody>
    </xdr:sp>
    <xdr:clientData/>
  </xdr:twoCellAnchor>
  <xdr:twoCellAnchor>
    <xdr:from>
      <xdr:col>0</xdr:col>
      <xdr:colOff>118389</xdr:colOff>
      <xdr:row>6</xdr:row>
      <xdr:rowOff>139914</xdr:rowOff>
    </xdr:from>
    <xdr:to>
      <xdr:col>4</xdr:col>
      <xdr:colOff>300564</xdr:colOff>
      <xdr:row>15</xdr:row>
      <xdr:rowOff>40155</xdr:rowOff>
    </xdr:to>
    <xdr:sp macro="" textlink="'Pivot Charts'!B21">
      <xdr:nvSpPr>
        <xdr:cNvPr id="8" name="Rectangle: Rounded Corners 7">
          <a:extLst>
            <a:ext uri="{FF2B5EF4-FFF2-40B4-BE49-F238E27FC236}">
              <a16:creationId xmlns:a16="http://schemas.microsoft.com/office/drawing/2014/main" id="{1996E435-279D-41E8-B5A5-788DE163FCFF}"/>
            </a:ext>
          </a:extLst>
        </xdr:cNvPr>
        <xdr:cNvSpPr/>
      </xdr:nvSpPr>
      <xdr:spPr>
        <a:xfrm>
          <a:off x="118389" y="1237711"/>
          <a:ext cx="2636073" cy="1546936"/>
        </a:xfrm>
        <a:prstGeom prst="roundRect">
          <a:avLst/>
        </a:prstGeom>
        <a:solidFill>
          <a:srgbClr val="BB759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chemeClr val="bg1"/>
              </a:solidFill>
              <a:latin typeface="Calibri"/>
              <a:ea typeface="Calibri"/>
              <a:cs typeface="Calibri"/>
            </a:rPr>
            <a:t>Sum of Revenue</a:t>
          </a:r>
        </a:p>
        <a:p>
          <a:pPr algn="ctr"/>
          <a:fld id="{DA5F910B-F28B-4712-87ED-F452354AC2A6}" type="TxLink">
            <a:rPr lang="en-US" sz="2800" b="1" i="0" u="none" strike="noStrike">
              <a:solidFill>
                <a:schemeClr val="bg1"/>
              </a:solidFill>
              <a:latin typeface="Calibri"/>
              <a:ea typeface="Calibri"/>
              <a:cs typeface="Calibri"/>
            </a:rPr>
            <a:pPr algn="ctr"/>
            <a:t>₹ 42,49,425.00</a:t>
          </a:fld>
          <a:endParaRPr lang="en-IN" sz="2800" b="1">
            <a:solidFill>
              <a:schemeClr val="bg1"/>
            </a:solidFill>
          </a:endParaRPr>
        </a:p>
      </xdr:txBody>
    </xdr:sp>
    <xdr:clientData/>
  </xdr:twoCellAnchor>
  <xdr:twoCellAnchor>
    <xdr:from>
      <xdr:col>4</xdr:col>
      <xdr:colOff>456218</xdr:colOff>
      <xdr:row>6</xdr:row>
      <xdr:rowOff>157507</xdr:rowOff>
    </xdr:from>
    <xdr:to>
      <xdr:col>9</xdr:col>
      <xdr:colOff>24918</xdr:colOff>
      <xdr:row>15</xdr:row>
      <xdr:rowOff>57748</xdr:rowOff>
    </xdr:to>
    <xdr:sp macro="" textlink="'Pivot Charts'!C21">
      <xdr:nvSpPr>
        <xdr:cNvPr id="9" name="Rectangle: Rounded Corners 8">
          <a:extLst>
            <a:ext uri="{FF2B5EF4-FFF2-40B4-BE49-F238E27FC236}">
              <a16:creationId xmlns:a16="http://schemas.microsoft.com/office/drawing/2014/main" id="{D1A763D5-AC0F-4862-BFB8-C3DE0CCB716F}"/>
            </a:ext>
          </a:extLst>
        </xdr:cNvPr>
        <xdr:cNvSpPr/>
      </xdr:nvSpPr>
      <xdr:spPr>
        <a:xfrm>
          <a:off x="2910116" y="1255304"/>
          <a:ext cx="2636073" cy="1546936"/>
        </a:xfrm>
        <a:prstGeom prst="roundRect">
          <a:avLst/>
        </a:prstGeom>
        <a:solidFill>
          <a:srgbClr val="BB759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chemeClr val="bg1"/>
              </a:solidFill>
              <a:latin typeface="Calibri"/>
              <a:ea typeface="Calibri"/>
              <a:cs typeface="Calibri"/>
            </a:rPr>
            <a:t>Average Days to Deliver</a:t>
          </a:r>
        </a:p>
        <a:p>
          <a:pPr algn="ctr"/>
          <a:fld id="{EF2721D5-0370-4C70-9AA2-D72E0CFE8F03}" type="TxLink">
            <a:rPr lang="en-US" sz="2800" b="1" i="0" u="none" strike="noStrike">
              <a:solidFill>
                <a:schemeClr val="bg1"/>
              </a:solidFill>
              <a:latin typeface="Calibri"/>
              <a:ea typeface="Calibri"/>
              <a:cs typeface="Calibri"/>
            </a:rPr>
            <a:pPr algn="ctr"/>
            <a:t>3.18</a:t>
          </a:fld>
          <a:endParaRPr lang="en-IN" sz="2800" b="1">
            <a:solidFill>
              <a:schemeClr val="bg1"/>
            </a:solidFill>
          </a:endParaRPr>
        </a:p>
      </xdr:txBody>
    </xdr:sp>
    <xdr:clientData/>
  </xdr:twoCellAnchor>
  <xdr:twoCellAnchor>
    <xdr:from>
      <xdr:col>9</xdr:col>
      <xdr:colOff>162232</xdr:colOff>
      <xdr:row>6</xdr:row>
      <xdr:rowOff>175098</xdr:rowOff>
    </xdr:from>
    <xdr:to>
      <xdr:col>13</xdr:col>
      <xdr:colOff>344407</xdr:colOff>
      <xdr:row>15</xdr:row>
      <xdr:rowOff>75339</xdr:rowOff>
    </xdr:to>
    <xdr:sp macro="" textlink="'Pivot Charts'!D21">
      <xdr:nvSpPr>
        <xdr:cNvPr id="10" name="Rectangle: Rounded Corners 9">
          <a:extLst>
            <a:ext uri="{FF2B5EF4-FFF2-40B4-BE49-F238E27FC236}">
              <a16:creationId xmlns:a16="http://schemas.microsoft.com/office/drawing/2014/main" id="{E179760D-CA84-49A5-AEA4-4C60DCEF7128}"/>
            </a:ext>
          </a:extLst>
        </xdr:cNvPr>
        <xdr:cNvSpPr/>
      </xdr:nvSpPr>
      <xdr:spPr>
        <a:xfrm>
          <a:off x="5683503" y="1272895"/>
          <a:ext cx="2636073" cy="1546936"/>
        </a:xfrm>
        <a:prstGeom prst="roundRect">
          <a:avLst/>
        </a:prstGeom>
        <a:solidFill>
          <a:srgbClr val="BB759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chemeClr val="bg1"/>
              </a:solidFill>
              <a:latin typeface="Calibri"/>
              <a:ea typeface="Calibri"/>
              <a:cs typeface="Calibri"/>
            </a:rPr>
            <a:t>Average Revenue</a:t>
          </a:r>
        </a:p>
        <a:p>
          <a:pPr algn="ctr"/>
          <a:fld id="{CFC94585-F938-44C8-AC72-C9F086471888}" type="TxLink">
            <a:rPr lang="en-US" sz="2800" b="1" i="0" u="none" strike="noStrike">
              <a:solidFill>
                <a:schemeClr val="bg1"/>
              </a:solidFill>
              <a:latin typeface="Calibri"/>
              <a:ea typeface="Calibri"/>
              <a:cs typeface="Calibri"/>
            </a:rPr>
            <a:pPr algn="ctr"/>
            <a:t>₹ 3,863.11</a:t>
          </a:fld>
          <a:endParaRPr lang="en-IN" sz="2800" b="1">
            <a:solidFill>
              <a:schemeClr val="bg1"/>
            </a:solidFill>
          </a:endParaRPr>
        </a:p>
      </xdr:txBody>
    </xdr:sp>
    <xdr:clientData/>
  </xdr:twoCellAnchor>
  <xdr:twoCellAnchor>
    <xdr:from>
      <xdr:col>19</xdr:col>
      <xdr:colOff>215255</xdr:colOff>
      <xdr:row>19</xdr:row>
      <xdr:rowOff>139915</xdr:rowOff>
    </xdr:from>
    <xdr:to>
      <xdr:col>23</xdr:col>
      <xdr:colOff>269069</xdr:colOff>
      <xdr:row>35</xdr:row>
      <xdr:rowOff>53813</xdr:rowOff>
    </xdr:to>
    <xdr:graphicFrame macro="">
      <xdr:nvGraphicFramePr>
        <xdr:cNvPr id="13" name="Chart 12">
          <a:extLst>
            <a:ext uri="{FF2B5EF4-FFF2-40B4-BE49-F238E27FC236}">
              <a16:creationId xmlns:a16="http://schemas.microsoft.com/office/drawing/2014/main" id="{051F0F33-EAEA-4447-A6F3-56C6ACA935C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398219</xdr:colOff>
      <xdr:row>6</xdr:row>
      <xdr:rowOff>129155</xdr:rowOff>
    </xdr:from>
    <xdr:to>
      <xdr:col>32</xdr:col>
      <xdr:colOff>53814</xdr:colOff>
      <xdr:row>35</xdr:row>
      <xdr:rowOff>21526</xdr:rowOff>
    </xdr:to>
    <mc:AlternateContent xmlns:mc="http://schemas.openxmlformats.org/markup-compatibility/2006" xmlns:a14="http://schemas.microsoft.com/office/drawing/2010/main">
      <mc:Choice Requires="a14">
        <xdr:graphicFrame macro="">
          <xdr:nvGraphicFramePr>
            <xdr:cNvPr id="14" name="Reason of Buying">
              <a:extLst>
                <a:ext uri="{FF2B5EF4-FFF2-40B4-BE49-F238E27FC236}">
                  <a16:creationId xmlns:a16="http://schemas.microsoft.com/office/drawing/2014/main" id="{F74128C0-691C-4AA2-BA1E-C965C57426B2}"/>
                </a:ext>
              </a:extLst>
            </xdr:cNvPr>
            <xdr:cNvGraphicFramePr/>
          </xdr:nvGraphicFramePr>
          <xdr:xfrm>
            <a:off x="0" y="0"/>
            <a:ext cx="0" cy="0"/>
          </xdr:xfrm>
          <a:graphic>
            <a:graphicData uri="http://schemas.microsoft.com/office/drawing/2010/slicer">
              <sle:slicer xmlns:sle="http://schemas.microsoft.com/office/drawing/2010/slicer" name="Reason of Buying"/>
            </a:graphicData>
          </a:graphic>
        </xdr:graphicFrame>
      </mc:Choice>
      <mc:Fallback xmlns="">
        <xdr:sp macro="" textlink="">
          <xdr:nvSpPr>
            <xdr:cNvPr id="0" name=""/>
            <xdr:cNvSpPr>
              <a:spLocks noTextEdit="1"/>
            </xdr:cNvSpPr>
          </xdr:nvSpPr>
          <xdr:spPr>
            <a:xfrm>
              <a:off x="17565116" y="1245879"/>
              <a:ext cx="2108008" cy="5289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182965</xdr:colOff>
      <xdr:row>36</xdr:row>
      <xdr:rowOff>32287</xdr:rowOff>
    </xdr:from>
    <xdr:to>
      <xdr:col>28</xdr:col>
      <xdr:colOff>270213</xdr:colOff>
      <xdr:row>43</xdr:row>
      <xdr:rowOff>86102</xdr:rowOff>
    </xdr:to>
    <mc:AlternateContent xmlns:mc="http://schemas.openxmlformats.org/markup-compatibility/2006" xmlns:a14="http://schemas.microsoft.com/office/drawing/2010/main">
      <mc:Choice Requires="a14">
        <xdr:graphicFrame macro="">
          <xdr:nvGraphicFramePr>
            <xdr:cNvPr id="16" name="Order_Date (Month)">
              <a:extLst>
                <a:ext uri="{FF2B5EF4-FFF2-40B4-BE49-F238E27FC236}">
                  <a16:creationId xmlns:a16="http://schemas.microsoft.com/office/drawing/2014/main" id="{024646A8-9803-458C-B442-C90F2220BBBC}"/>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82965" y="6619067"/>
              <a:ext cx="19502035" cy="1399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419748</xdr:colOff>
      <xdr:row>19</xdr:row>
      <xdr:rowOff>150678</xdr:rowOff>
    </xdr:from>
    <xdr:to>
      <xdr:col>19</xdr:col>
      <xdr:colOff>139915</xdr:colOff>
      <xdr:row>35</xdr:row>
      <xdr:rowOff>41759</xdr:rowOff>
    </xdr:to>
    <xdr:graphicFrame macro="">
      <xdr:nvGraphicFramePr>
        <xdr:cNvPr id="17" name="Chart 16">
          <a:extLst>
            <a:ext uri="{FF2B5EF4-FFF2-40B4-BE49-F238E27FC236}">
              <a16:creationId xmlns:a16="http://schemas.microsoft.com/office/drawing/2014/main" id="{A701A809-FDB8-4297-A18C-4A00FEA34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344406</xdr:colOff>
      <xdr:row>19</xdr:row>
      <xdr:rowOff>150678</xdr:rowOff>
    </xdr:from>
    <xdr:to>
      <xdr:col>28</xdr:col>
      <xdr:colOff>258304</xdr:colOff>
      <xdr:row>35</xdr:row>
      <xdr:rowOff>43050</xdr:rowOff>
    </xdr:to>
    <xdr:graphicFrame macro="">
      <xdr:nvGraphicFramePr>
        <xdr:cNvPr id="15" name="Chart 14">
          <a:extLst>
            <a:ext uri="{FF2B5EF4-FFF2-40B4-BE49-F238E27FC236}">
              <a16:creationId xmlns:a16="http://schemas.microsoft.com/office/drawing/2014/main" id="{0120F7A6-2562-496B-9974-F58B2A085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391808</xdr:colOff>
      <xdr:row>35</xdr:row>
      <xdr:rowOff>153278</xdr:rowOff>
    </xdr:from>
    <xdr:to>
      <xdr:col>32</xdr:col>
      <xdr:colOff>54042</xdr:colOff>
      <xdr:row>43</xdr:row>
      <xdr:rowOff>65690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4D6DBDA0-B0F0-40FC-9B25-51CB354CA1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558705" y="6667502"/>
              <a:ext cx="2114647" cy="1401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175172</xdr:colOff>
      <xdr:row>6</xdr:row>
      <xdr:rowOff>120430</xdr:rowOff>
    </xdr:from>
    <xdr:to>
      <xdr:col>28</xdr:col>
      <xdr:colOff>229912</xdr:colOff>
      <xdr:row>19</xdr:row>
      <xdr:rowOff>32844</xdr:rowOff>
    </xdr:to>
    <xdr:graphicFrame macro="">
      <xdr:nvGraphicFramePr>
        <xdr:cNvPr id="21" name="Chart 20">
          <a:extLst>
            <a:ext uri="{FF2B5EF4-FFF2-40B4-BE49-F238E27FC236}">
              <a16:creationId xmlns:a16="http://schemas.microsoft.com/office/drawing/2014/main" id="{86EC0473-B318-49F7-88BD-AB1A195A2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1388891" backgroundQuery="1" createdVersion="7" refreshedVersion="8" minRefreshableVersion="3" recordCount="0" supportSubquery="1" supportAdvancedDrill="1" xr:uid="{CA39AF45-6DEB-4FFD-81F3-C29DDC0A4F9A}">
  <cacheSource type="external" connectionId="5"/>
  <cacheFields count="8">
    <cacheField name="[orders].[Order_Month].[Order_Month]" caption="Order_Month" numFmtId="0" hierarchy="18" level="1">
      <sharedItems count="12">
        <s v="April"/>
        <s v="August"/>
        <s v="December"/>
        <s v="February"/>
        <s v="January"/>
        <s v="July"/>
        <s v="June"/>
        <s v="March"/>
        <s v="May"/>
        <s v="November"/>
        <s v="October"/>
        <s v="September"/>
      </sharedItems>
    </cacheField>
    <cacheField name="[products].[Category].[Category]" caption="Category" numFmtId="0" hierarchy="29" level="1">
      <sharedItems count="10">
        <s v="Accessories"/>
        <s v="Appliances"/>
        <s v="Beauty"/>
        <s v="Electronics"/>
        <s v="Fitness"/>
        <s v="Home Textile"/>
        <s v="Personal Care"/>
        <s v="Shoes"/>
        <s v="Trousers"/>
        <s v="Watch"/>
      </sharedItems>
    </cacheField>
    <cacheField name="[products].[Product_Name].[Product_Name]" caption="Product_Name" numFmtId="0" hierarchy="28" level="1">
      <sharedItems count="5">
        <s v="Bath Towel"/>
        <s v="Chino Trousers"/>
        <s v="Nike Running Shoes"/>
        <s v="Wallet"/>
        <s v="Yoga Mat"/>
      </sharedItems>
    </cacheField>
    <cacheField name="[customers].[City].[City]" caption="City" numFmtId="0" hierarchy="6" level="1">
      <sharedItems count="10">
        <s v="Bhatpara"/>
        <s v="Bidhannagar"/>
        <s v="Dhanbad"/>
        <s v="Dibrugarh"/>
        <s v="Guntakal"/>
        <s v="Haridwar"/>
        <s v="Imphal"/>
        <s v="Kavali"/>
        <s v="Machilipatnam"/>
        <s v="Panchkula"/>
      </sharedItems>
    </cacheField>
    <cacheField name="[orders].[Order_Day].[Order_Day]" caption="Order_Day" numFmtId="0" hierarchy="17" level="1">
      <sharedItems count="7">
        <s v="Friday"/>
        <s v="Monday"/>
        <s v="Saturday"/>
        <s v="Sunday"/>
        <s v="Thursday"/>
        <s v="Tuesday"/>
        <s v="Wednesday"/>
      </sharedItems>
    </cacheField>
    <cacheField name="[Measures].[Sum of Order_ID]" caption="Sum of Order_ID" numFmtId="0" hierarchy="43" level="32767"/>
    <cacheField name="[orders].[Payment Method].[Payment Method]" caption="Payment Method" numFmtId="0" hierarchy="24" level="1">
      <sharedItems count="2">
        <s v="COD"/>
        <s v="Online"/>
      </sharedItems>
    </cacheField>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7"/>
      </fieldsUsage>
    </cacheHierarchy>
    <cacheHierarchy uniqueName="[orders].[Payment Method]" caption="Payment Method" attribute="1" defaultMemberUniqueName="[orders].[Payment Method].[All]" allUniqueName="[orders].[Payment Method].[All]" dimensionUniqueName="[orders]" displayFolder="" count="2" memberValueDatatype="130" unbalanced="0">
      <fieldsUsage count="2">
        <fieldUsage x="-1"/>
        <fieldUsage x="6"/>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oneField="1" hidden="1">
      <fieldsUsage count="1">
        <fieldUsage x="5"/>
      </fieldsUsage>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2662038" backgroundQuery="1" createdVersion="7" refreshedVersion="8" minRefreshableVersion="3" recordCount="0" supportSubquery="1" supportAdvancedDrill="1" xr:uid="{A335AFA6-A14F-47D4-8BBE-2A9C74CBB737}">
  <cacheSource type="external" connectionId="5"/>
  <cacheFields count="4">
    <cacheField name="[orders].[Order_Month].[Order_Month]" caption="Order_Month" numFmtId="0" hierarchy="18"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Calander].[Order_Date (Month)].[Order_Date (Month)]" caption="Order_Date (Month)" numFmtId="0" hierarchy="3" level="1">
      <sharedItems count="12">
        <s v="Jan"/>
        <s v="Feb"/>
        <s v="Mar"/>
        <s v="Apr"/>
        <s v="May"/>
        <s v="Jun"/>
        <s v="Jul"/>
        <s v="Aug"/>
        <s v="Sep"/>
        <s v="Oct"/>
        <s v="Nov"/>
        <s v="Dec"/>
      </sharedItems>
    </cacheField>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fieldsUsage count="2">
        <fieldUsage x="-1"/>
        <fieldUsage x="2"/>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3"/>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3935185" backgroundQuery="1" createdVersion="7" refreshedVersion="8" minRefreshableVersion="3" recordCount="0" supportSubquery="1" supportAdvancedDrill="1" xr:uid="{B7768E1C-553B-4030-A71B-7E1D9C8151A9}">
  <cacheSource type="external" connectionId="5"/>
  <cacheFields count="4">
    <cacheField name="[orders].[Order_Month].[Order_Month]" caption="Order_Month" numFmtId="0" hierarchy="18"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Category].[Category]" caption="Category" numFmtId="0" hierarchy="29" level="1">
      <sharedItems count="10">
        <s v="Accessories"/>
        <s v="Appliances"/>
        <s v="Beauty"/>
        <s v="Electronics"/>
        <s v="Fitness"/>
        <s v="Home Textile"/>
        <s v="Personal Care"/>
        <s v="Shoes"/>
        <s v="Trousers"/>
        <s v="Watch"/>
      </sharedItems>
    </cacheField>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3"/>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5439817" backgroundQuery="1" createdVersion="7" refreshedVersion="8" minRefreshableVersion="3" recordCount="0" supportSubquery="1" supportAdvancedDrill="1" xr:uid="{728C37D2-C70C-43F8-A9A8-E774F8EC4849}">
  <cacheSource type="external" connectionId="5"/>
  <cacheFields count="6">
    <cacheField name="[orders].[Order_Month].[Order_Month]" caption="Order_Month" numFmtId="0" hierarchy="18" level="1">
      <sharedItems count="12">
        <s v="April"/>
        <s v="August"/>
        <s v="December"/>
        <s v="February"/>
        <s v="January"/>
        <s v="July"/>
        <s v="June"/>
        <s v="March"/>
        <s v="May"/>
        <s v="November"/>
        <s v="October"/>
        <s v="September"/>
      </sharedItems>
    </cacheField>
    <cacheField name="[products].[Category].[Category]" caption="Category" numFmtId="0" hierarchy="29" level="1">
      <sharedItems count="10">
        <s v="Accessories"/>
        <s v="Appliances"/>
        <s v="Beauty"/>
        <s v="Electronics"/>
        <s v="Fitness"/>
        <s v="Home Textile"/>
        <s v="Personal Care"/>
        <s v="Shoes"/>
        <s v="Trousers"/>
        <s v="Watch"/>
      </sharedItems>
    </cacheField>
    <cacheField name="[products].[Product_Name].[Product_Name]" caption="Product_Name" numFmtId="0" hierarchy="28" level="1">
      <sharedItems count="5">
        <s v="Bath Towel"/>
        <s v="Chino Trousers"/>
        <s v="Nike Running Shoes"/>
        <s v="Wallet"/>
        <s v="Yoga Mat"/>
      </sharedItems>
    </cacheField>
    <cacheField name="[customers].[City].[City]" caption="City" numFmtId="0" hierarchy="6" level="1">
      <sharedItems count="10">
        <s v="Delhi"/>
        <s v="Dibrugarh"/>
        <s v="Guna"/>
        <s v="Guntakal"/>
        <s v="Haridwar"/>
        <s v="Maheshtala"/>
        <s v="Mumbai"/>
        <s v="North Dumdum"/>
        <s v="Panchkula"/>
        <s v="Vellore"/>
      </sharedItems>
    </cacheField>
    <cacheField name="[Measures].[Sum of Order_ID]" caption="Sum of Order_ID" numFmtId="0" hierarchy="43" level="32767"/>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5"/>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oneField="1" hidden="1">
      <fieldsUsage count="1">
        <fieldUsage x="4"/>
      </fieldsUsage>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6134256" backgroundQuery="1" createdVersion="7" refreshedVersion="8" minRefreshableVersion="3" recordCount="0" supportSubquery="1" supportAdvancedDrill="1" xr:uid="{83B4473D-BCBC-44FC-8EE7-A853E5235FF3}">
  <cacheSource type="external" connectionId="5"/>
  <cacheFields count="7">
    <cacheField name="[orders].[Order_Month].[Order_Month]" caption="Order_Month" numFmtId="0" hierarchy="18" level="1">
      <sharedItems count="12">
        <s v="April"/>
        <s v="August"/>
        <s v="December"/>
        <s v="February"/>
        <s v="January"/>
        <s v="July"/>
        <s v="June"/>
        <s v="March"/>
        <s v="May"/>
        <s v="November"/>
        <s v="October"/>
        <s v="September"/>
      </sharedItems>
    </cacheField>
    <cacheField name="[products].[Category].[Category]" caption="Category" numFmtId="0" hierarchy="29" level="1">
      <sharedItems count="10">
        <s v="Accessories"/>
        <s v="Appliances"/>
        <s v="Beauty"/>
        <s v="Electronics"/>
        <s v="Fitness"/>
        <s v="Home Textile"/>
        <s v="Personal Care"/>
        <s v="Shoes"/>
        <s v="Trousers"/>
        <s v="Watch"/>
      </sharedItems>
    </cacheField>
    <cacheField name="[products].[Product_Name].[Product_Name]" caption="Product_Name" numFmtId="0" hierarchy="28" level="1">
      <sharedItems count="5">
        <s v="Bath Towel"/>
        <s v="Chino Trousers"/>
        <s v="Nike Running Shoes"/>
        <s v="Wallet"/>
        <s v="Yoga Mat"/>
      </sharedItems>
    </cacheField>
    <cacheField name="[customers].[City].[City]" caption="City" numFmtId="0" hierarchy="6" level="1">
      <sharedItems count="10">
        <s v="Bhatpara"/>
        <s v="Bidhannagar"/>
        <s v="Dhanbad"/>
        <s v="Dibrugarh"/>
        <s v="Guntakal"/>
        <s v="Haridwar"/>
        <s v="Imphal"/>
        <s v="Kavali"/>
        <s v="Machilipatnam"/>
        <s v="Panchkula"/>
      </sharedItems>
    </cacheField>
    <cacheField name="[orders].[Order_Day].[Order_Day]" caption="Order_Day" numFmtId="0" hierarchy="17" level="1">
      <sharedItems count="7">
        <s v="Friday"/>
        <s v="Monday"/>
        <s v="Saturday"/>
        <s v="Sunday"/>
        <s v="Thursday"/>
        <s v="Tuesday"/>
        <s v="Wednesday"/>
      </sharedItems>
    </cacheField>
    <cacheField name="[Measures].[Sum of Order_ID]" caption="Sum of Order_ID" numFmtId="0" hierarchy="43" level="32767"/>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6"/>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oneField="1" hidden="1">
      <fieldsUsage count="1">
        <fieldUsage x="5"/>
      </fieldsUsage>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6944441" backgroundQuery="1" createdVersion="7" refreshedVersion="8" minRefreshableVersion="3" recordCount="0" supportSubquery="1" supportAdvancedDrill="1" xr:uid="{181BE4E1-5805-49BE-BFA8-218EA0EE815A}">
  <cacheSource type="external" connectionId="5"/>
  <cacheFields count="4">
    <cacheField name="[Measures].[Sum of Revenue]" caption="Sum of Revenue" numFmtId="0" hierarchy="38" level="32767"/>
    <cacheField name="[Measures].[Average of Time_to_deliver]" caption="Average of Time_to_deliver" numFmtId="0" hierarchy="41" level="32767"/>
    <cacheField name="[Measures].[Average of Revenue]" caption="Average of Revenue" numFmtId="0" hierarchy="42" level="32767"/>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3"/>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7986111" backgroundQuery="1" createdVersion="7" refreshedVersion="8" minRefreshableVersion="3" recordCount="0" supportSubquery="1" supportAdvancedDrill="1" xr:uid="{DD41A024-02C9-41D9-B422-CF2ACA5C9501}">
  <cacheSource type="external" connectionId="5"/>
  <cacheFields count="2">
    <cacheField name="[Calander].[Order_Date (Month)].[Order_Date (Month)]" caption="Order_Date (Month)" numFmtId="0" hierarchy="3" level="1">
      <sharedItems count="12">
        <s v="Jan"/>
        <s v="Feb"/>
        <s v="Mar"/>
        <s v="Apr"/>
        <s v="May"/>
        <s v="Jun"/>
        <s v="Jul"/>
        <s v="Aug"/>
        <s v="Sep"/>
        <s v="Oct"/>
        <s v="Nov"/>
        <s v="Dec"/>
      </sharedItems>
    </cacheField>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fieldsUsage count="2">
        <fieldUsage x="-1"/>
        <fieldUsage x="0"/>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1"/>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8796296" backgroundQuery="1" createdVersion="7" refreshedVersion="8" minRefreshableVersion="3" recordCount="0" supportSubquery="1" supportAdvancedDrill="1" xr:uid="{924BCC14-5DF8-477F-A79C-E7E8EE481973}">
  <cacheSource type="external" connectionId="5"/>
  <cacheFields count="6">
    <cacheField name="[orders].[Order_Month].[Order_Month]" caption="Order_Month" numFmtId="0" hierarchy="18" level="1">
      <sharedItems count="12">
        <s v="April"/>
        <s v="August"/>
        <s v="December"/>
        <s v="February"/>
        <s v="January"/>
        <s v="July"/>
        <s v="June"/>
        <s v="March"/>
        <s v="May"/>
        <s v="November"/>
        <s v="October"/>
        <s v="September"/>
      </sharedItems>
    </cacheField>
    <cacheField name="[products].[Category].[Category]" caption="Category" numFmtId="0" hierarchy="29" level="1">
      <sharedItems count="10">
        <s v="Accessories"/>
        <s v="Appliances"/>
        <s v="Beauty"/>
        <s v="Electronics"/>
        <s v="Fitness"/>
        <s v="Home Textile"/>
        <s v="Personal Care"/>
        <s v="Shoes"/>
        <s v="Trousers"/>
        <s v="Watch"/>
      </sharedItems>
    </cacheField>
    <cacheField name="[products].[Product_Name].[Product_Name]" caption="Product_Name" numFmtId="0" hierarchy="28" level="1">
      <sharedItems count="5">
        <s v="Bath Towel"/>
        <s v="Chino Trousers"/>
        <s v="Nike Running Shoes"/>
        <s v="Wallet"/>
        <s v="Yoga Mat"/>
      </sharedItems>
    </cacheField>
    <cacheField name="[customers].[City].[City]" caption="City" numFmtId="0" hierarchy="6" level="1">
      <sharedItems count="10">
        <s v="Bhatpara"/>
        <s v="Bidhannagar"/>
        <s v="Dhanbad"/>
        <s v="Dibrugarh"/>
        <s v="Guntakal"/>
        <s v="Haridwar"/>
        <s v="Imphal"/>
        <s v="Kavali"/>
        <s v="Machilipatnam"/>
        <s v="Panchkula"/>
      </sharedItems>
    </cacheField>
    <cacheField name="[orders].[Reason of Buying].[Reason of Buying]" caption="Reason of Buying" numFmtId="0" hierarchy="23" level="1">
      <sharedItems count="6">
        <s v="Ad Influence"/>
        <s v="Brand Trust"/>
        <s v="Cashback Offers"/>
        <s v="Easy Returns"/>
        <s v="Festival"/>
        <s v="Quality"/>
      </sharedItems>
    </cacheField>
    <cacheField name="[Measures].[Sum of Revenue]" caption="Sum of Revenue" numFmtId="0" hierarchy="38" level="32767"/>
  </cacheFields>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4"/>
      </fieldsUsage>
    </cacheHierarchy>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901009490743" backgroundQuery="1" createdVersion="7" refreshedVersion="8" minRefreshableVersion="3" recordCount="0" supportSubquery="1" supportAdvancedDrill="1" xr:uid="{967A5138-432E-48EC-B121-91A8CB6E3FDE}">
  <cacheSource type="external" connectionId="5"/>
  <cacheFields count="8">
    <cacheField name="[orders].[Order_Month].[Order_Month]" caption="Order_Month" numFmtId="0" hierarchy="18" level="1">
      <sharedItems count="12">
        <s v="April"/>
        <s v="August"/>
        <s v="December"/>
        <s v="February"/>
        <s v="January"/>
        <s v="July"/>
        <s v="June"/>
        <s v="March"/>
        <s v="May"/>
        <s v="November"/>
        <s v="October"/>
        <s v="September"/>
      </sharedItems>
    </cacheField>
    <cacheField name="[products].[Category].[Category]" caption="Category" numFmtId="0" hierarchy="29" level="1">
      <sharedItems count="6">
        <s v="Accessories"/>
        <s v="Appliances"/>
        <s v="Electronics"/>
        <s v="Shoes"/>
        <s v="Trousers"/>
        <s v="Fitness"/>
      </sharedItems>
    </cacheField>
    <cacheField name="[products].[Product_Name].[Product_Name]" caption="Product_Name" numFmtId="0" hierarchy="28" level="1">
      <sharedItems count="5">
        <s v="Bath Towel"/>
        <s v="Chino Trousers"/>
        <s v="Nike Running Shoes"/>
        <s v="Wallet"/>
        <s v="Yoga Mat"/>
      </sharedItems>
    </cacheField>
    <cacheField name="[customers].[City].[City]" caption="City" numFmtId="0" hierarchy="6" level="1">
      <sharedItems count="10">
        <s v="Bhatpara"/>
        <s v="Bidhannagar"/>
        <s v="Dhanbad"/>
        <s v="Dibrugarh"/>
        <s v="Guntakal"/>
        <s v="Haridwar"/>
        <s v="Imphal"/>
        <s v="Kavali"/>
        <s v="Machilipatnam"/>
        <s v="Panchkula"/>
      </sharedItems>
    </cacheField>
    <cacheField name="[orders].[Order_Day].[Order_Day]" caption="Order_Day" numFmtId="0" hierarchy="17" level="1">
      <sharedItems count="7">
        <s v="Friday"/>
        <s v="Monday"/>
        <s v="Saturday"/>
        <s v="Sunday"/>
        <s v="Thursday"/>
        <s v="Tuesday"/>
        <s v="Wednesday"/>
      </sharedItems>
    </cacheField>
    <cacheField name="[customers].[Gender].[Gender]" caption="Gender" numFmtId="0" hierarchy="9" level="1">
      <sharedItems count="2">
        <s v="Female"/>
        <s v="Male"/>
      </sharedItems>
    </cacheField>
    <cacheField name="[Measures].[Count of Order_ID]" caption="Count of Order_ID" numFmtId="0" hierarchy="45" level="32767"/>
    <cacheField name="[orders].[Reason of Buying].[Reason of Buying]" caption="Reason of Buying" numFmtId="0" hierarchy="23" level="1">
      <sharedItems containsSemiMixedTypes="0" containsNonDate="0" containsString="0"/>
    </cacheField>
  </cacheFields>
  <cacheHierarchies count="46">
    <cacheHierarchy uniqueName="[Calander].[Order_Date]" caption="Order_Date" attribute="1" time="1" defaultMemberUniqueName="[Calander].[Order_Date].[All]" allUniqueName="[Calander].[Order_Date].[All]" dimensionUniqueName="[Calander]" displayFolder="" count="2" memberValueDatatype="7" unbalanced="0"/>
    <cacheHierarchy uniqueName="[Calander].[Order_Date (Year)]" caption="Order_Date (Year)" attribute="1" defaultMemberUniqueName="[Calander].[Order_Date (Year)].[All]" allUniqueName="[Calander].[Order_Date (Year)].[All]" dimensionUniqueName="[Calander]" displayFolder="" count="2" memberValueDatatype="130" unbalanced="0"/>
    <cacheHierarchy uniqueName="[Calander].[Order_Date (Quarter)]" caption="Order_Date (Quarter)" attribute="1" defaultMemberUniqueName="[Calander].[Order_Date (Quarter)].[All]" allUniqueName="[Calander].[Order_Date (Quarter)].[All]" dimensionUniqueName="[Calander]" displayFolder="" count="2"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5"/>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Time_to_deliver]" caption="Time_to_deliver" attribute="1" defaultMemberUniqueName="[orders].[Time_to_deliver].[All]" allUniqueName="[orders].[Time_to_delive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fieldsUsage count="2">
        <fieldUsage x="-1"/>
        <fieldUsage x="7"/>
      </fieldsUsage>
    </cacheHierarchy>
    <cacheHierarchy uniqueName="[orders].[Payment Method]" caption="Payment Method" attribute="1" defaultMemberUniqueName="[orders].[Payment Method].[All]" allUniqueName="[orders].[Payment Method].[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Reason of Buying]" caption="Reason of Buying" attribute="1" defaultMemberUniqueName="[products].[Reason of Buying].[All]" allUniqueName="[products].[Reason of Buying].[All]" dimensionUniqueName="[products]" displayFolder="" count="2"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oneField="1" hidden="1">
      <fieldsUsage count="1">
        <fieldUsage x="6"/>
      </fieldsUsage>
      <extLst>
        <ext xmlns:x15="http://schemas.microsoft.com/office/spreadsheetml/2010/11/main" uri="{B97F6D7D-B522-45F9-BDA1-12C45D357490}">
          <x15:cacheHierarchy aggregatedColumn="11"/>
        </ext>
      </extLst>
    </cacheHierarchy>
  </cacheHierarchies>
  <kpis count="0"/>
  <dimensions count="5">
    <dimension name="Calander" uniqueName="[Calander]" caption="Calande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ander" caption="Calande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0.688286226854" backgroundQuery="1" createdVersion="3" refreshedVersion="7" minRefreshableVersion="3" recordCount="0" supportSubquery="1" supportAdvancedDrill="1" xr:uid="{F89480AE-96B7-4609-9655-E0CC9D09ED34}">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2" memberValueDatatype="130" unbalanced="0"/>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61574566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0.701990162037" backgroundQuery="1" createdVersion="3" refreshedVersion="7" minRefreshableVersion="3" recordCount="0" supportSubquery="1" supportAdvancedDrill="1" xr:uid="{B41A8656-58BB-4782-9989-8DB19DF2083E}">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alander].[Order_Date]" caption="Order_Date" attribute="1" time="1" defaultMemberUniqueName="[Calander].[Order_Date].[All]" allUniqueName="[Calander].[Order_Date].[All]" dimensionUniqueName="[Calander]" displayFolder="" count="0" memberValueDatatype="7" unbalanced="0"/>
    <cacheHierarchy uniqueName="[Calander].[Order_Date (Year)]" caption="Order_Date (Year)" attribute="1" defaultMemberUniqueName="[Calander].[Order_Date (Year)].[All]" allUniqueName="[Calander].[Order_Date (Year)].[All]" dimensionUniqueName="[Calander]" displayFolder="" count="0" memberValueDatatype="130" unbalanced="0"/>
    <cacheHierarchy uniqueName="[Calander].[Order_Date (Quarter)]" caption="Order_Date (Quarter)" attribute="1" defaultMemberUniqueName="[Calander].[Order_Date (Quarter)].[All]" allUniqueName="[Calander].[Order_Date (Quarter)].[All]" dimensionUniqueName="[Calander]" displayFolder="" count="0" memberValueDatatype="130" unbalanced="0"/>
    <cacheHierarchy uniqueName="[Calander].[Order_Date (Month)]" caption="Order_Date (Month)" attribute="1" defaultMemberUniqueName="[Calander].[Order_Date (Month)].[All]" allUniqueName="[Calander].[Order_Date (Month)].[All]" dimensionUniqueName="[Calande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Day]" caption="Order_Day" attribute="1" defaultMemberUniqueName="[orders].[Order_Day].[All]" allUniqueName="[orders].[Order_Day].[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Time_to_deliver]" caption="Time_to_deliver" attribute="1" defaultMemberUniqueName="[orders].[Time_to_deliver].[All]" allUniqueName="[orders].[Time_to_deliv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Reason of Buying]" caption="Reason of Buying" attribute="1" defaultMemberUniqueName="[orders].[Reason of Buying].[All]" allUniqueName="[orders].[Reason of Buying].[All]" dimensionUniqueName="[orders]" displayFolder="" count="0" memberValueDatatype="130" unbalanced="0"/>
    <cacheHierarchy uniqueName="[orders].[Payment Method]" caption="Payment Method" attribute="1" defaultMemberUniqueName="[orders].[Payment Method].[All]" allUniqueName="[orders].[Payment Method].[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Reason of Buying]" caption="Reason of Buying" attribute="1" defaultMemberUniqueName="[products].[Reason of Buying].[All]" allUniqueName="[products].[Reason of Buying].[All]" dimensionUniqueName="[products]" displayFolder="" count="0" memberValueDatatype="130" unbalanced="0"/>
    <cacheHierarchy uniqueName="[Calander].[Order_Date (Month Index)]" caption="Order_Date (Month Index)" attribute="1" defaultMemberUniqueName="[Calander].[Order_Date (Month Index)].[All]" allUniqueName="[Calander].[Order_Date (Month Index)].[All]" dimensionUniqueName="[Calander]"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Time_to_deliver]" caption="Sum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Time_to_deliver]" caption="Average of Time_to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554895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AD596-5ED5-418D-BFC3-59CA2A90C2A2}" name="PivotTable2" cacheId="97" applyNumberFormats="0" applyBorderFormats="0" applyFontFormats="0" applyPatternFormats="0" applyAlignmentFormats="0" applyWidthHeightFormats="1" dataCaption="Values" tag="914c1ace-f68d-4ab0-ac80-52d7b42d0e74" updatedVersion="8" minRefreshableVersion="3" useAutoFormatting="1" subtotalHiddenItems="1" itemPrintTitles="1" createdVersion="7" indent="0" outline="1" outlineData="1" multipleFieldFilters="0" chartFormat="8">
  <location ref="B5:C1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5"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297D51-B528-4776-BDDB-81C2985CF082}" name="PivotTable8" cacheId="118" applyNumberFormats="0" applyBorderFormats="0" applyFontFormats="0" applyPatternFormats="0" applyAlignmentFormats="0" applyWidthHeightFormats="1" dataCaption="Values" tag="ec31e85e-9a55-45f6-a552-4ac7acd7f5ba" updatedVersion="8" minRefreshableVersion="3" useAutoFormatting="1" subtotalHiddenItems="1" itemPrintTitles="1" createdVersion="7" indent="0" outline="1" outlineData="1" multipleFieldFilters="0" chartFormat="28">
  <location ref="M23:N26"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6">
        <item x="0"/>
        <item x="1"/>
        <item x="2"/>
        <item x="5"/>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7">
        <item x="2"/>
        <item x="0"/>
        <item x="4"/>
        <item x="6"/>
        <item x="5"/>
        <item x="1"/>
        <item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5"/>
  </rowFields>
  <rowItems count="3">
    <i>
      <x/>
    </i>
    <i>
      <x v="1"/>
    </i>
    <i t="grand">
      <x/>
    </i>
  </rowItems>
  <colItems count="1">
    <i/>
  </colItems>
  <dataFields count="1">
    <dataField name="Count of Order_ID" fld="6" subtotal="count" showDataAs="percentOfTotal" baseField="5" baseItem="0" numFmtId="10"/>
  </dataFields>
  <chartFormats count="3">
    <chartFormat chart="27" format="9" series="1">
      <pivotArea type="data" outline="0" fieldPosition="0">
        <references count="1">
          <reference field="4294967294" count="1" selected="0">
            <x v="0"/>
          </reference>
        </references>
      </pivotArea>
    </chartFormat>
    <chartFormat chart="27" format="10">
      <pivotArea type="data" outline="0" fieldPosition="0">
        <references count="2">
          <reference field="4294967294" count="1" selected="0">
            <x v="0"/>
          </reference>
          <reference field="5" count="1" selected="0">
            <x v="1"/>
          </reference>
        </references>
      </pivotArea>
    </chartFormat>
    <chartFormat chart="27" format="11">
      <pivotArea type="data" outline="0" fieldPosition="0">
        <references count="2">
          <reference field="4294967294" count="1" selected="0">
            <x v="0"/>
          </reference>
          <reference field="5"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2" type="count" id="2" iMeasureHier="38">
      <autoFilter ref="A1">
        <filterColumn colId="0">
          <top10 val="5" filterVal="5"/>
        </filterColumn>
      </autoFilter>
    </filter>
    <filter fld="3" type="count" id="3" iMeasureHier="43">
      <autoFilter ref="A1">
        <filterColumn colId="0">
          <top10 val="10" filterVal="10"/>
        </filterColumn>
      </autoFilter>
    </filter>
    <filter fld="1" type="count" id="4" iMeasureHier="3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175EBD-1369-495A-A8EC-EC654B555C9A}" name="PivotTable7" cacheId="106" applyNumberFormats="0" applyBorderFormats="0" applyFontFormats="0" applyPatternFormats="0" applyAlignmentFormats="0" applyWidthHeightFormats="1" dataCaption="Values" tag="0876d217-0002-4f4e-a047-f530c9897fbc" updatedVersion="8" minRefreshableVersion="3" useAutoFormatting="1" subtotalHiddenItems="1" itemPrintTitles="1" createdVersion="7" indent="0" outline="1" outlineData="1" multipleFieldFilters="0" chartFormat="7">
  <location ref="J12:K20"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Order_ID" fld="5" baseField="0" baseItem="0"/>
  </dataFields>
  <chartFormats count="1">
    <chartFormat chart="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38">
      <autoFilter ref="A1">
        <filterColumn colId="0">
          <top10 val="10" filterVal="10"/>
        </filterColumn>
      </autoFilter>
    </filter>
    <filter fld="2" type="count" id="2" iMeasureHier="38">
      <autoFilter ref="A1">
        <filterColumn colId="0">
          <top10 val="5" filterVal="5"/>
        </filterColumn>
      </autoFilter>
    </filter>
    <filter fld="3" type="count" id="3" iMeasureHier="4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ADC5E4-4FF6-4F76-B2F0-50D073046CEF}" name="PivotTable4" cacheId="112" applyNumberFormats="0" applyBorderFormats="0" applyFontFormats="0" applyPatternFormats="0" applyAlignmentFormats="0" applyWidthHeightFormats="1" dataCaption="Values" tag="19628ae7-e564-495f-9b7e-89c24290f37c" updatedVersion="8" minRefreshableVersion="3" useAutoFormatting="1" subtotalHiddenItems="1" itemPrintTitles="1" createdVersion="7" indent="0" outline="1" outlineData="1" multipleFieldFilters="0">
  <location ref="M2:M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0485C-932B-4E74-9606-8747FD5E4C84}" name="PivotTable6" cacheId="115" applyNumberFormats="0" applyBorderFormats="0" applyFontFormats="0" applyPatternFormats="0" applyAlignmentFormats="0" applyWidthHeightFormats="1" dataCaption="Values" tag="24cb2f5e-affc-4f5b-9455-2e4958728778" updatedVersion="8" minRefreshableVersion="3" useAutoFormatting="1" subtotalHiddenItems="1" itemPrintTitles="1" createdVersion="7" indent="0" outline="1" outlineData="1" multipleFieldFilters="0" chartFormat="13">
  <location ref="J2:K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4"/>
  </rowFields>
  <rowItems count="7">
    <i>
      <x/>
    </i>
    <i>
      <x v="5"/>
    </i>
    <i>
      <x v="1"/>
    </i>
    <i>
      <x v="3"/>
    </i>
    <i>
      <x v="4"/>
    </i>
    <i>
      <x v="2"/>
    </i>
    <i t="grand">
      <x/>
    </i>
  </rowItems>
  <colItems count="1">
    <i/>
  </colItems>
  <dataFields count="1">
    <dataField name="Sum of Revenue" fld="5" baseField="0" baseItem="0"/>
  </dataFields>
  <chartFormats count="8">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5"/>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2" format="12">
      <pivotArea type="data" outline="0" fieldPosition="0">
        <references count="2">
          <reference field="4294967294" count="1" selected="0">
            <x v="0"/>
          </reference>
          <reference field="4" count="1" selected="0">
            <x v="3"/>
          </reference>
        </references>
      </pivotArea>
    </chartFormat>
    <chartFormat chart="12" format="13">
      <pivotArea type="data" outline="0" fieldPosition="0">
        <references count="2">
          <reference field="4294967294" count="1" selected="0">
            <x v="0"/>
          </reference>
          <reference field="4" count="1" selected="0">
            <x v="4"/>
          </reference>
        </references>
      </pivotArea>
    </chartFormat>
    <chartFormat chart="12" format="14">
      <pivotArea type="data" outline="0" fieldPosition="0">
        <references count="2">
          <reference field="4294967294" count="1" selected="0">
            <x v="0"/>
          </reference>
          <reference field="4" count="1" selected="0">
            <x v="2"/>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38">
      <autoFilter ref="A1">
        <filterColumn colId="0">
          <top10 val="10" filterVal="10"/>
        </filterColumn>
      </autoFilter>
    </filter>
    <filter fld="2" type="count" id="2" iMeasureHier="38">
      <autoFilter ref="A1">
        <filterColumn colId="0">
          <top10 val="5" filterVal="5"/>
        </filterColumn>
      </autoFilter>
    </filter>
    <filter fld="3" type="count" id="3" iMeasureHier="4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DCEA4F-120B-467D-B72D-36D38D78B18D}" name="PivotTable5" cacheId="103" applyNumberFormats="0" applyBorderFormats="0" applyFontFormats="0" applyPatternFormats="0" applyAlignmentFormats="0" applyWidthHeightFormats="1" dataCaption="Values" tag="402f99bf-c7d6-4582-b75a-06d6c1cf1746" updatedVersion="8" minRefreshableVersion="3" useAutoFormatting="1" subtotalHiddenItems="1" itemPrintTitles="1" createdVersion="7" indent="0" outline="1" outlineData="1" multipleFieldFilters="0" chartFormat="3">
  <location ref="F16:G27"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11">
    <i>
      <x/>
    </i>
    <i>
      <x v="6"/>
    </i>
    <i>
      <x v="5"/>
    </i>
    <i>
      <x v="3"/>
    </i>
    <i>
      <x v="1"/>
    </i>
    <i>
      <x v="9"/>
    </i>
    <i>
      <x v="2"/>
    </i>
    <i>
      <x v="8"/>
    </i>
    <i>
      <x v="4"/>
    </i>
    <i>
      <x v="7"/>
    </i>
    <i t="grand">
      <x/>
    </i>
  </rowItems>
  <colItems count="1">
    <i/>
  </colItems>
  <dataFields count="1">
    <dataField name="number of orders" fld="4" baseField="0" baseItem="0"/>
  </dataFields>
  <chartFormats count="1">
    <chartFormat chart="2" format="6"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umber of orders"/>
    <pivotHierarchy dragToData="1"/>
    <pivotHierarchy dragToData="1"/>
  </pivotHierarchies>
  <pivotTableStyleInfo name="PivotStyleLight16" showRowHeaders="1" showColHeaders="1" showRowStripes="0" showColStripes="0" showLastColumn="1"/>
  <filters count="3">
    <filter fld="1" type="count" id="1" iMeasureHier="38">
      <autoFilter ref="A1">
        <filterColumn colId="0">
          <top10 val="10" filterVal="10"/>
        </filterColumn>
      </autoFilter>
    </filter>
    <filter fld="2" type="count" id="2" iMeasureHier="38">
      <autoFilter ref="A1">
        <filterColumn colId="0">
          <top10 val="5" filterVal="5"/>
        </filterColumn>
      </autoFilter>
    </filter>
    <filter fld="3" type="count" id="3" iMeasureHier="4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25FFA-29E4-46BB-8053-EDF850B564B0}" name="PivotTable1" cacheId="94" applyNumberFormats="0" applyBorderFormats="0" applyFontFormats="0" applyPatternFormats="0" applyAlignmentFormats="0" applyWidthHeightFormats="1" dataCaption="Values" tag="ec31e85e-9a55-45f6-a552-4ac7acd7f5ba" updatedVersion="8" minRefreshableVersion="3" useAutoFormatting="1" subtotalHiddenItems="1" itemPrintTitles="1" createdVersion="7" indent="0" outline="1" outlineData="1" multipleFieldFilters="0" chartFormat="8">
  <location ref="J23:K26"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7">
        <item x="2"/>
        <item x="0"/>
        <item x="4"/>
        <item x="6"/>
        <item x="5"/>
        <item x="1"/>
        <item x="3"/>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6"/>
  </rowFields>
  <rowItems count="3">
    <i>
      <x/>
    </i>
    <i>
      <x v="1"/>
    </i>
    <i t="grand">
      <x/>
    </i>
  </rowItems>
  <colItems count="1">
    <i/>
  </colItems>
  <dataFields count="1">
    <dataField name="Sum of Order_ID" fld="5" baseField="0" baseItem="0"/>
  </dataFields>
  <chartFormats count="5">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38">
      <autoFilter ref="A1">
        <filterColumn colId="0">
          <top10 val="10" filterVal="10"/>
        </filterColumn>
      </autoFilter>
    </filter>
    <filter fld="2" type="count" id="2" iMeasureHier="38">
      <autoFilter ref="A1">
        <filterColumn colId="0">
          <top10 val="5" filterVal="5"/>
        </filterColumn>
      </autoFilter>
    </filter>
    <filter fld="3" type="count" id="3" iMeasureHier="43">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9A6E70-4E91-44E5-B4EE-FA61B6F33631}" name="PivotTable3" cacheId="100" applyNumberFormats="0" applyBorderFormats="0" applyFontFormats="0" applyPatternFormats="0" applyAlignmentFormats="0" applyWidthHeightFormats="1" dataCaption="Values" tag="8cb239dd-1b11-4b03-946c-b8dcb77b65e1" updatedVersion="8" minRefreshableVersion="3" useAutoFormatting="1" subtotalHiddenItems="1" itemPrintTitles="1" createdVersion="7" indent="0" outline="1" outlineData="1" multipleFieldFilters="0" chartFormat="4">
  <location ref="F2:G1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3"/>
    </i>
    <i>
      <x v="7"/>
    </i>
    <i>
      <x/>
    </i>
    <i>
      <x v="8"/>
    </i>
    <i>
      <x v="4"/>
    </i>
    <i>
      <x v="1"/>
    </i>
    <i>
      <x v="2"/>
    </i>
    <i>
      <x v="9"/>
    </i>
    <i>
      <x v="5"/>
    </i>
    <i>
      <x v="6"/>
    </i>
    <i t="grand">
      <x/>
    </i>
  </rowItems>
  <colItems count="1">
    <i/>
  </colItems>
  <dataFields count="1">
    <dataField name="Sum of Revenue" fld="1" baseField="0" baseItem="0"/>
  </dataFields>
  <chartFormats count="1">
    <chartFormat chart="3" format="6"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8">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0221FC-BB27-48F5-A34B-2555F3AC7F92}" name="totalRevenue" cacheId="109" applyNumberFormats="0" applyBorderFormats="0" applyFontFormats="0" applyPatternFormats="0" applyAlignmentFormats="0" applyWidthHeightFormats="1" dataCaption="Values" tag="1ed66f8c-2e66-4d6f-9143-63916513d4f2" updatedVersion="8" minRefreshableVersion="3" useAutoFormatting="1" subtotalHiddenItems="1" itemPrintTitles="1" createdVersion="7" indent="0" outline="1" outlineData="1" multipleFieldFilters="0">
  <location ref="B2:D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days to deliver" fld="1" subtotal="average" baseField="0" baseItem="1" numFmtId="2"/>
    <dataField name="Average Revenue" fld="2" subtotal="average" baseField="0" baseItem="1"/>
  </dataFields>
  <formats count="10">
    <format dxfId="49">
      <pivotArea outline="0" collapsedLevelsAreSubtotals="1" fieldPosition="0">
        <references count="1">
          <reference field="4294967294" count="1" selected="0">
            <x v="1"/>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1"/>
          </reference>
        </references>
      </pivotArea>
    </format>
    <format dxfId="46">
      <pivotArea outline="0" collapsedLevelsAreSubtotals="1" fieldPosition="0">
        <references count="1">
          <reference field="4294967294" count="1" selected="0">
            <x v="1"/>
          </reference>
        </references>
      </pivotArea>
    </format>
    <format dxfId="45">
      <pivotArea outline="0" collapsedLevelsAreSubtotals="1" fieldPosition="0">
        <references count="1">
          <reference field="4294967294" count="1" selected="0">
            <x v="1"/>
          </reference>
        </references>
      </pivotArea>
    </format>
    <format dxfId="44">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1" selected="0">
            <x v="1"/>
          </reference>
        </references>
      </pivotArea>
    </format>
    <format dxfId="42">
      <pivotArea outline="0" collapsedLevelsAreSubtotals="1" fieldPosition="0">
        <references count="1">
          <reference field="4294967294" count="1" selected="0">
            <x v="1"/>
          </reference>
        </references>
      </pivotArea>
    </format>
    <format dxfId="41">
      <pivotArea outline="0" collapsedLevelsAreSubtotals="1" fieldPosition="0">
        <references count="1">
          <reference field="4294967294" count="1" selected="0">
            <x v="1"/>
          </reference>
        </references>
      </pivotArea>
    </format>
    <format dxfId="40">
      <pivotArea outline="0" collapsedLevelsAreSubtotals="1" fieldPosition="0">
        <references count="1">
          <reference field="4294967294" count="1" selected="0">
            <x v="1"/>
          </reference>
        </references>
      </pivotArea>
    </format>
  </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ays to deliver"/>
    <pivotHierarchy dragToData="1" caption="Average Revenue"/>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of_Buying" xr10:uid="{A6AADD6E-9AD3-4B4B-9C1C-D6A36765C7D0}" sourceName="[orders].[Reason of Buying]">
  <pivotTables>
    <pivotTable tabId="1" name="PivotTable1"/>
    <pivotTable tabId="1" name="PivotTable2"/>
    <pivotTable tabId="1" name="PivotTable3"/>
    <pivotTable tabId="1" name="PivotTable5"/>
    <pivotTable tabId="1" name="PivotTable7"/>
    <pivotTable tabId="1" name="totalRevenue"/>
    <pivotTable tabId="1" name="PivotTable4"/>
    <pivotTable tabId="1" name="PivotTable6"/>
    <pivotTable tabId="1" name="PivotTable8"/>
  </pivotTables>
  <data>
    <olap pivotCacheId="615745663">
      <levels count="2">
        <level uniqueName="[orders].[Reason of Buying].[(All)]" sourceCaption="(All)" count="0"/>
        <level uniqueName="[orders].[Reason of Buying].[Reason of Buying]" sourceCaption="Reason of Buying" count="6">
          <ranges>
            <range startItem="0">
              <i n="[orders].[Reason of Buying].&amp;[Ad Influence]" c="Ad Influence"/>
              <i n="[orders].[Reason of Buying].&amp;[Brand Trust]" c="Brand Trust"/>
              <i n="[orders].[Reason of Buying].&amp;[Cashback Offers]" c="Cashback Offers"/>
              <i n="[orders].[Reason of Buying].&amp;[Easy Returns]" c="Easy Returns"/>
              <i n="[orders].[Reason of Buying].&amp;[Festival]" c="Festival"/>
              <i n="[orders].[Reason of Buying].&amp;[Quality]" c="Quality"/>
            </range>
          </ranges>
        </level>
      </levels>
      <selections count="1">
        <selection n="[orders].[Reason of Buy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36B50DD1-91A8-46AA-96E8-2566BD2E5D9D}" sourceName="[Calander].[Order_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totalRevenue"/>
    <pivotTable tabId="1" name="PivotTable8"/>
  </pivotTables>
  <data>
    <olap pivotCacheId="615745663">
      <levels count="2">
        <level uniqueName="[Calander].[Order_Date (Month)].[(All)]" sourceCaption="(All)" count="0"/>
        <level uniqueName="[Calander].[Order_Date (Month)].[Order_Date (Month)]" sourceCaption="Order_Date (Month)" count="12">
          <ranges>
            <range startItem="0">
              <i n="[Calander].[Order_Date (Month)].&amp;[Jan]" c="Jan"/>
              <i n="[Calander].[Order_Date (Month)].&amp;[Feb]" c="Feb"/>
              <i n="[Calander].[Order_Date (Month)].&amp;[Mar]" c="Mar"/>
              <i n="[Calander].[Order_Date (Month)].&amp;[Apr]" c="Apr"/>
              <i n="[Calander].[Order_Date (Month)].&amp;[May]" c="May"/>
              <i n="[Calander].[Order_Date (Month)].&amp;[Jun]" c="Jun"/>
              <i n="[Calander].[Order_Date (Month)].&amp;[Jul]" c="Jul"/>
              <i n="[Calander].[Order_Date (Month)].&amp;[Aug]" c="Aug"/>
              <i n="[Calander].[Order_Date (Month)].&amp;[Sep]" c="Sep"/>
              <i n="[Calander].[Order_Date (Month)].&amp;[Oct]" c="Oct"/>
              <i n="[Calander].[Order_Date (Month)].&amp;[Nov]" c="Nov"/>
              <i n="[Calander].[Order_Date (Month)].&amp;[Dec]" c="Dec"/>
            </range>
          </ranges>
        </level>
      </levels>
      <selections count="1">
        <selection n="[Calander].[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EEC9E0-86E1-4711-BDA0-D2DCE5E31FA1}" sourceName="[customers].[Gender]">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 tabId="1" name="totalRevenue"/>
  </pivotTables>
  <data>
    <olap pivotCacheId="1755489516">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 of Buying" xr10:uid="{3A3290BC-4A79-4195-B0EC-C54DBE01F820}" cache="Slicer_Reason_of_Buying" caption="Reason of Buying" level="1" style="Slicer Style 1" rowHeight="756000"/>
  <slicer name="Order_Date (Month)" xr10:uid="{33D4DFF2-643B-4169-AC82-2967285742A6}" cache="Slicer_Order_Date__Month" caption="Order_Date (Month)" columnCount="6" level="1" style="Slicer Style 1" rowHeight="468000"/>
  <slicer name="Gender" xr10:uid="{8E32C194-CF61-4F8D-9718-6C3BEEE23B12}" cache="Slicer_Gender" caption="Gender" level="1" style="Slicer Style 1"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7"/>
  <sheetViews>
    <sheetView zoomScale="94" zoomScaleNormal="100" workbookViewId="0">
      <selection activeCell="Q16" sqref="Q16"/>
    </sheetView>
  </sheetViews>
  <sheetFormatPr defaultRowHeight="14.5" x14ac:dyDescent="0.35"/>
  <cols>
    <col min="2" max="2" width="14.81640625" bestFit="1" customWidth="1"/>
    <col min="3" max="3" width="20.81640625" bestFit="1" customWidth="1"/>
    <col min="4" max="4" width="15.81640625" bestFit="1" customWidth="1"/>
    <col min="5" max="5" width="12.36328125" bestFit="1" customWidth="1"/>
    <col min="6" max="6" width="14" bestFit="1" customWidth="1"/>
    <col min="7" max="7" width="15.6328125" bestFit="1" customWidth="1"/>
    <col min="10" max="10" width="14.36328125" bestFit="1" customWidth="1"/>
    <col min="11" max="12" width="14.81640625" bestFit="1" customWidth="1"/>
    <col min="13" max="13" width="12.7265625" bestFit="1" customWidth="1"/>
    <col min="14" max="14" width="16.36328125" bestFit="1" customWidth="1"/>
    <col min="15" max="15" width="15" bestFit="1" customWidth="1"/>
  </cols>
  <sheetData>
    <row r="2" spans="2:13" x14ac:dyDescent="0.35">
      <c r="B2" t="s">
        <v>2</v>
      </c>
      <c r="C2" t="s">
        <v>3</v>
      </c>
      <c r="D2" t="s">
        <v>15</v>
      </c>
      <c r="F2" s="1" t="s">
        <v>0</v>
      </c>
      <c r="G2" t="s">
        <v>2</v>
      </c>
      <c r="J2" s="1" t="s">
        <v>0</v>
      </c>
      <c r="K2" t="s">
        <v>2</v>
      </c>
      <c r="M2" s="1" t="s">
        <v>0</v>
      </c>
    </row>
    <row r="3" spans="2:13" x14ac:dyDescent="0.35">
      <c r="B3" s="9">
        <v>4249425</v>
      </c>
      <c r="C3" s="4">
        <v>3.1827272727272726</v>
      </c>
      <c r="D3" s="9">
        <v>3863.1136363636365</v>
      </c>
      <c r="F3" s="2" t="s">
        <v>8</v>
      </c>
      <c r="G3" s="9">
        <v>626256</v>
      </c>
      <c r="J3" s="2" t="s">
        <v>21</v>
      </c>
      <c r="K3" s="9">
        <v>1186687</v>
      </c>
      <c r="M3" s="2" t="s">
        <v>37</v>
      </c>
    </row>
    <row r="4" spans="2:13" x14ac:dyDescent="0.35">
      <c r="F4" s="2" t="s">
        <v>12</v>
      </c>
      <c r="G4" s="9">
        <v>331257</v>
      </c>
      <c r="J4" s="2" t="s">
        <v>26</v>
      </c>
      <c r="K4" s="9">
        <v>859474</v>
      </c>
      <c r="M4" s="2" t="s">
        <v>38</v>
      </c>
    </row>
    <row r="5" spans="2:13" x14ac:dyDescent="0.35">
      <c r="B5" s="1" t="s">
        <v>0</v>
      </c>
      <c r="C5" t="s">
        <v>2</v>
      </c>
      <c r="F5" s="2" t="s">
        <v>5</v>
      </c>
      <c r="G5" s="9">
        <v>299436</v>
      </c>
      <c r="J5" s="2" t="s">
        <v>22</v>
      </c>
      <c r="K5" s="9">
        <v>723876</v>
      </c>
      <c r="M5" s="2" t="s">
        <v>39</v>
      </c>
    </row>
    <row r="6" spans="2:13" x14ac:dyDescent="0.35">
      <c r="B6" s="2" t="s">
        <v>37</v>
      </c>
      <c r="C6" s="9">
        <v>171035</v>
      </c>
      <c r="F6" s="2" t="s">
        <v>13</v>
      </c>
      <c r="G6" s="9">
        <v>298217</v>
      </c>
      <c r="J6" s="2" t="s">
        <v>24</v>
      </c>
      <c r="K6" s="9">
        <v>668533</v>
      </c>
      <c r="M6" s="2" t="s">
        <v>40</v>
      </c>
    </row>
    <row r="7" spans="2:13" x14ac:dyDescent="0.35">
      <c r="B7" s="2" t="s">
        <v>38</v>
      </c>
      <c r="C7" s="9">
        <v>743344</v>
      </c>
      <c r="F7" s="2" t="s">
        <v>9</v>
      </c>
      <c r="G7" s="9">
        <v>278504</v>
      </c>
      <c r="J7" s="2" t="s">
        <v>25</v>
      </c>
      <c r="K7" s="9">
        <v>406239</v>
      </c>
      <c r="M7" s="2" t="s">
        <v>4</v>
      </c>
    </row>
    <row r="8" spans="2:13" x14ac:dyDescent="0.35">
      <c r="B8" s="2" t="s">
        <v>39</v>
      </c>
      <c r="C8" s="9">
        <v>578602</v>
      </c>
      <c r="F8" s="2" t="s">
        <v>6</v>
      </c>
      <c r="G8" s="9">
        <v>251439</v>
      </c>
      <c r="J8" s="2" t="s">
        <v>23</v>
      </c>
      <c r="K8" s="9">
        <v>404616</v>
      </c>
      <c r="M8" s="2" t="s">
        <v>41</v>
      </c>
    </row>
    <row r="9" spans="2:13" x14ac:dyDescent="0.35">
      <c r="B9" s="2" t="s">
        <v>40</v>
      </c>
      <c r="C9" s="9">
        <v>200639</v>
      </c>
      <c r="F9" s="2" t="s">
        <v>7</v>
      </c>
      <c r="G9" s="9">
        <v>222008</v>
      </c>
      <c r="J9" s="2" t="s">
        <v>1</v>
      </c>
      <c r="K9" s="9">
        <v>4249425</v>
      </c>
      <c r="M9" s="2" t="s">
        <v>42</v>
      </c>
    </row>
    <row r="10" spans="2:13" x14ac:dyDescent="0.35">
      <c r="B10" s="2" t="s">
        <v>4</v>
      </c>
      <c r="C10" s="9">
        <v>233144</v>
      </c>
      <c r="F10" s="2" t="s">
        <v>14</v>
      </c>
      <c r="G10" s="9">
        <v>212961</v>
      </c>
      <c r="M10" s="2" t="s">
        <v>43</v>
      </c>
    </row>
    <row r="11" spans="2:13" x14ac:dyDescent="0.35">
      <c r="B11" s="2" t="s">
        <v>41</v>
      </c>
      <c r="C11" s="9">
        <v>205801</v>
      </c>
      <c r="F11" s="2" t="s">
        <v>10</v>
      </c>
      <c r="G11" s="9">
        <v>209048</v>
      </c>
      <c r="M11" s="2" t="s">
        <v>44</v>
      </c>
    </row>
    <row r="12" spans="2:13" x14ac:dyDescent="0.35">
      <c r="B12" s="2" t="s">
        <v>42</v>
      </c>
      <c r="C12" s="9">
        <v>209068</v>
      </c>
      <c r="F12" s="2" t="s">
        <v>11</v>
      </c>
      <c r="G12" s="9">
        <v>175121</v>
      </c>
      <c r="J12" s="1" t="s">
        <v>0</v>
      </c>
      <c r="K12" t="s">
        <v>20</v>
      </c>
      <c r="M12" s="2" t="s">
        <v>45</v>
      </c>
    </row>
    <row r="13" spans="2:13" x14ac:dyDescent="0.35">
      <c r="B13" s="2" t="s">
        <v>43</v>
      </c>
      <c r="C13" s="9">
        <v>667001</v>
      </c>
      <c r="F13" s="2" t="s">
        <v>1</v>
      </c>
      <c r="G13" s="9">
        <v>2904247</v>
      </c>
      <c r="J13" s="2" t="s">
        <v>30</v>
      </c>
      <c r="K13" s="8">
        <v>102819</v>
      </c>
      <c r="M13" s="2" t="s">
        <v>46</v>
      </c>
    </row>
    <row r="14" spans="2:13" x14ac:dyDescent="0.35">
      <c r="B14" s="2" t="s">
        <v>44</v>
      </c>
      <c r="C14" s="9">
        <v>178265</v>
      </c>
      <c r="J14" s="2" t="s">
        <v>28</v>
      </c>
      <c r="K14" s="8">
        <v>76559</v>
      </c>
      <c r="M14" s="2" t="s">
        <v>47</v>
      </c>
    </row>
    <row r="15" spans="2:13" x14ac:dyDescent="0.35">
      <c r="B15" s="2" t="s">
        <v>45</v>
      </c>
      <c r="C15" s="9">
        <v>202749</v>
      </c>
      <c r="J15" s="2" t="s">
        <v>32</v>
      </c>
      <c r="K15" s="8">
        <v>103364</v>
      </c>
      <c r="M15" s="2" t="s">
        <v>1</v>
      </c>
    </row>
    <row r="16" spans="2:13" x14ac:dyDescent="0.35">
      <c r="B16" s="2" t="s">
        <v>46</v>
      </c>
      <c r="C16" s="9">
        <v>649525</v>
      </c>
      <c r="F16" s="1" t="s">
        <v>0</v>
      </c>
      <c r="G16" t="s">
        <v>34</v>
      </c>
      <c r="J16" s="2" t="s">
        <v>33</v>
      </c>
      <c r="K16" s="8">
        <v>75477</v>
      </c>
    </row>
    <row r="17" spans="2:14" x14ac:dyDescent="0.35">
      <c r="B17" s="2" t="s">
        <v>47</v>
      </c>
      <c r="C17" s="9">
        <v>210252</v>
      </c>
      <c r="F17" s="2" t="s">
        <v>48</v>
      </c>
      <c r="G17" s="8">
        <v>47651</v>
      </c>
      <c r="J17" s="2" t="s">
        <v>31</v>
      </c>
      <c r="K17" s="8">
        <v>80460</v>
      </c>
    </row>
    <row r="18" spans="2:14" x14ac:dyDescent="0.35">
      <c r="B18" s="2" t="s">
        <v>1</v>
      </c>
      <c r="C18" s="9">
        <v>4249425</v>
      </c>
      <c r="F18" s="2" t="s">
        <v>53</v>
      </c>
      <c r="G18" s="8">
        <v>16844</v>
      </c>
      <c r="J18" s="2" t="s">
        <v>27</v>
      </c>
      <c r="K18" s="8">
        <v>86301</v>
      </c>
    </row>
    <row r="19" spans="2:14" x14ac:dyDescent="0.35">
      <c r="F19" s="2" t="s">
        <v>50</v>
      </c>
      <c r="G19" s="8">
        <v>12897</v>
      </c>
      <c r="J19" s="2" t="s">
        <v>29</v>
      </c>
      <c r="K19" s="8">
        <v>80570</v>
      </c>
    </row>
    <row r="20" spans="2:14" x14ac:dyDescent="0.35">
      <c r="F20" s="2" t="s">
        <v>17</v>
      </c>
      <c r="G20" s="8">
        <v>12680</v>
      </c>
      <c r="J20" s="2" t="s">
        <v>1</v>
      </c>
      <c r="K20" s="8">
        <v>605550</v>
      </c>
    </row>
    <row r="21" spans="2:14" x14ac:dyDescent="0.35">
      <c r="B21" s="5">
        <f>GETPIVOTDATA("[Measures].[Sum of Revenue]",$B$2)</f>
        <v>4249425</v>
      </c>
      <c r="C21" s="6">
        <f>GETPIVOTDATA("[Measures].[Average of Time_to_deliver]",$B$2)</f>
        <v>3.1827272727272726</v>
      </c>
      <c r="D21" s="5">
        <f>GETPIVOTDATA("[Measures].[Average of Revenue]",$B$2)</f>
        <v>3863.1136363636365</v>
      </c>
      <c r="F21" s="2" t="s">
        <v>16</v>
      </c>
      <c r="G21" s="8">
        <v>12253</v>
      </c>
    </row>
    <row r="22" spans="2:14" x14ac:dyDescent="0.35">
      <c r="F22" s="2" t="s">
        <v>52</v>
      </c>
      <c r="G22" s="8">
        <v>11942</v>
      </c>
    </row>
    <row r="23" spans="2:14" x14ac:dyDescent="0.35">
      <c r="F23" s="2" t="s">
        <v>49</v>
      </c>
      <c r="G23" s="8">
        <v>11564</v>
      </c>
      <c r="J23" s="1" t="s">
        <v>0</v>
      </c>
      <c r="K23" t="s">
        <v>20</v>
      </c>
      <c r="M23" s="1" t="s">
        <v>0</v>
      </c>
      <c r="N23" t="s">
        <v>57</v>
      </c>
    </row>
    <row r="24" spans="2:14" x14ac:dyDescent="0.35">
      <c r="F24" s="2" t="s">
        <v>19</v>
      </c>
      <c r="G24" s="8">
        <v>11549</v>
      </c>
      <c r="J24" s="2" t="s">
        <v>35</v>
      </c>
      <c r="K24" s="8">
        <v>292336</v>
      </c>
      <c r="M24" s="2" t="s">
        <v>55</v>
      </c>
      <c r="N24" s="7">
        <v>0.49272727272727274</v>
      </c>
    </row>
    <row r="25" spans="2:14" x14ac:dyDescent="0.35">
      <c r="F25" s="2" t="s">
        <v>18</v>
      </c>
      <c r="G25" s="8">
        <v>11146</v>
      </c>
      <c r="J25" s="2" t="s">
        <v>36</v>
      </c>
      <c r="K25" s="8">
        <v>313214</v>
      </c>
      <c r="M25" s="2" t="s">
        <v>56</v>
      </c>
      <c r="N25" s="7">
        <v>0.50727272727272732</v>
      </c>
    </row>
    <row r="26" spans="2:14" x14ac:dyDescent="0.35">
      <c r="F26" s="2" t="s">
        <v>51</v>
      </c>
      <c r="G26" s="8">
        <v>10851</v>
      </c>
      <c r="J26" s="2" t="s">
        <v>1</v>
      </c>
      <c r="K26" s="8">
        <v>605550</v>
      </c>
      <c r="M26" s="2" t="s">
        <v>1</v>
      </c>
      <c r="N26" s="7">
        <v>1</v>
      </c>
    </row>
    <row r="27" spans="2:14" x14ac:dyDescent="0.35">
      <c r="F27" s="2" t="s">
        <v>1</v>
      </c>
      <c r="G27" s="8">
        <v>159377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B7910-9AA3-4130-86A2-B672B8B3FA8D}">
  <dimension ref="G47"/>
  <sheetViews>
    <sheetView tabSelected="1" zoomScale="45" zoomScaleNormal="60" workbookViewId="0">
      <selection activeCell="AI15" sqref="AI15"/>
    </sheetView>
  </sheetViews>
  <sheetFormatPr defaultRowHeight="14.5" x14ac:dyDescent="0.35"/>
  <cols>
    <col min="1" max="16384" width="8.7265625" style="3"/>
  </cols>
  <sheetData>
    <row r="47" spans="7:7" x14ac:dyDescent="0.35">
      <c r="G47" s="3" t="s">
        <v>54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D158C9D-B394-41AE-9913-81269AF8C6CF}">
  <ds:schemaRefs/>
</ds:datastoreItem>
</file>

<file path=customXml/itemProps2.xml><?xml version="1.0" encoding="utf-8"?>
<ds:datastoreItem xmlns:ds="http://schemas.openxmlformats.org/officeDocument/2006/customXml" ds:itemID="{A0B06454-1583-45CE-89D8-1FAD7DBA6C08}">
  <ds:schemaRefs/>
</ds:datastoreItem>
</file>

<file path=customXml/itemProps3.xml><?xml version="1.0" encoding="utf-8"?>
<ds:datastoreItem xmlns:ds="http://schemas.openxmlformats.org/officeDocument/2006/customXml" ds:itemID="{F2F5F040-AE68-4E7F-B275-137B2586885C}">
  <ds:schemaRefs/>
</ds:datastoreItem>
</file>

<file path=customXml/itemProps4.xml><?xml version="1.0" encoding="utf-8"?>
<ds:datastoreItem xmlns:ds="http://schemas.openxmlformats.org/officeDocument/2006/customXml" ds:itemID="{CCB225DA-DFB1-4465-871B-5588B99C7398}">
  <ds:schemaRefs/>
</ds:datastoreItem>
</file>

<file path=customXml/itemProps5.xml><?xml version="1.0" encoding="utf-8"?>
<ds:datastoreItem xmlns:ds="http://schemas.openxmlformats.org/officeDocument/2006/customXml" ds:itemID="{BF30B1C2-E4B9-4CB7-A5F9-FF6FB0CF2849}">
  <ds:schemaRefs/>
</ds:datastoreItem>
</file>

<file path=customXml/itemProps6.xml><?xml version="1.0" encoding="utf-8"?>
<ds:datastoreItem xmlns:ds="http://schemas.openxmlformats.org/officeDocument/2006/customXml" ds:itemID="{3E108C5B-1419-4C09-BE37-90C6B316410C}">
  <ds:schemaRefs/>
</ds:datastoreItem>
</file>

<file path=customXml/itemProps7.xml><?xml version="1.0" encoding="utf-8"?>
<ds:datastoreItem xmlns:ds="http://schemas.openxmlformats.org/officeDocument/2006/customXml" ds:itemID="{19FDBBDC-7F07-48E8-8C2F-A722CCB3E596}">
  <ds:schemaRefs/>
</ds:datastoreItem>
</file>

<file path=customXml/itemProps8.xml><?xml version="1.0" encoding="utf-8"?>
<ds:datastoreItem xmlns:ds="http://schemas.openxmlformats.org/officeDocument/2006/customXml" ds:itemID="{66B616C9-CA5D-4631-817B-6C90D759D21D}">
  <ds:schemaRefs/>
</ds:datastoreItem>
</file>

<file path=customXml/itemProps9.xml><?xml version="1.0" encoding="utf-8"?>
<ds:datastoreItem xmlns:ds="http://schemas.openxmlformats.org/officeDocument/2006/customXml" ds:itemID="{0B921017-AC48-4E5F-B863-AE8A7CB038C5}">
  <ds:schemaRefs/>
</ds:datastoreItem>
</file>

<file path=customXml/itemProps10.xml><?xml version="1.0" encoding="utf-8"?>
<ds:datastoreItem xmlns:ds="http://schemas.openxmlformats.org/officeDocument/2006/customXml" ds:itemID="{DC9AE529-763D-4529-AF8B-7C3E54CA7D37}">
  <ds:schemaRefs/>
</ds:datastoreItem>
</file>

<file path=customXml/itemProps11.xml><?xml version="1.0" encoding="utf-8"?>
<ds:datastoreItem xmlns:ds="http://schemas.openxmlformats.org/officeDocument/2006/customXml" ds:itemID="{F3BB0C4F-D431-49E5-8853-7B24BBACEEB9}">
  <ds:schemaRefs/>
</ds:datastoreItem>
</file>

<file path=customXml/itemProps12.xml><?xml version="1.0" encoding="utf-8"?>
<ds:datastoreItem xmlns:ds="http://schemas.openxmlformats.org/officeDocument/2006/customXml" ds:itemID="{74766980-DDD2-4EA3-90DC-69D059A023D8}">
  <ds:schemaRefs>
    <ds:schemaRef ds:uri="http://schemas.microsoft.com/DataMashup"/>
  </ds:schemaRefs>
</ds:datastoreItem>
</file>

<file path=customXml/itemProps13.xml><?xml version="1.0" encoding="utf-8"?>
<ds:datastoreItem xmlns:ds="http://schemas.openxmlformats.org/officeDocument/2006/customXml" ds:itemID="{4771B3AE-D248-455A-978E-7E2285E8ABEF}">
  <ds:schemaRefs/>
</ds:datastoreItem>
</file>

<file path=customXml/itemProps14.xml><?xml version="1.0" encoding="utf-8"?>
<ds:datastoreItem xmlns:ds="http://schemas.openxmlformats.org/officeDocument/2006/customXml" ds:itemID="{537DE556-F3E2-40A8-8018-FB335715DEA7}">
  <ds:schemaRefs/>
</ds:datastoreItem>
</file>

<file path=customXml/itemProps15.xml><?xml version="1.0" encoding="utf-8"?>
<ds:datastoreItem xmlns:ds="http://schemas.openxmlformats.org/officeDocument/2006/customXml" ds:itemID="{AB75CF68-5219-439B-A1C1-47DF8BCCE6AA}">
  <ds:schemaRefs/>
</ds:datastoreItem>
</file>

<file path=customXml/itemProps16.xml><?xml version="1.0" encoding="utf-8"?>
<ds:datastoreItem xmlns:ds="http://schemas.openxmlformats.org/officeDocument/2006/customXml" ds:itemID="{7F742C20-F62F-4B84-B705-C096805C6B84}">
  <ds:schemaRefs/>
</ds:datastoreItem>
</file>

<file path=customXml/itemProps17.xml><?xml version="1.0" encoding="utf-8"?>
<ds:datastoreItem xmlns:ds="http://schemas.openxmlformats.org/officeDocument/2006/customXml" ds:itemID="{95DC8297-DB6B-4AAD-8824-4F09C452177F}">
  <ds:schemaRefs/>
</ds:datastoreItem>
</file>

<file path=customXml/itemProps18.xml><?xml version="1.0" encoding="utf-8"?>
<ds:datastoreItem xmlns:ds="http://schemas.openxmlformats.org/officeDocument/2006/customXml" ds:itemID="{663EE731-C467-40E0-A4EA-3BF12C72B140}">
  <ds:schemaRefs/>
</ds:datastoreItem>
</file>

<file path=customXml/itemProps19.xml><?xml version="1.0" encoding="utf-8"?>
<ds:datastoreItem xmlns:ds="http://schemas.openxmlformats.org/officeDocument/2006/customXml" ds:itemID="{476C3E80-03AE-48E3-9378-5D13704424DC}">
  <ds:schemaRefs/>
</ds:datastoreItem>
</file>

<file path=customXml/itemProps20.xml><?xml version="1.0" encoding="utf-8"?>
<ds:datastoreItem xmlns:ds="http://schemas.openxmlformats.org/officeDocument/2006/customXml" ds:itemID="{F416543E-E10D-4A7D-8DB3-C3CDA1E96DC7}">
  <ds:schemaRefs/>
</ds:datastoreItem>
</file>

<file path=customXml/itemProps21.xml><?xml version="1.0" encoding="utf-8"?>
<ds:datastoreItem xmlns:ds="http://schemas.openxmlformats.org/officeDocument/2006/customXml" ds:itemID="{DF854EE0-6141-45A4-BA9A-7442C2A668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UDITI - 80012600489</cp:lastModifiedBy>
  <dcterms:created xsi:type="dcterms:W3CDTF">2015-06-05T18:17:20Z</dcterms:created>
  <dcterms:modified xsi:type="dcterms:W3CDTF">2026-10-03T16:07:30Z</dcterms:modified>
</cp:coreProperties>
</file>